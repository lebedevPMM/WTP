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НЕДЕЛЯ 1" sheetId="1" r:id="rId5"/>
    <sheet state="visible" name="НЕДЕЛЯ 2" sheetId="2" r:id="rId6"/>
    <sheet state="visible" name="НЕДЕЛЯ 3" sheetId="3" r:id="rId7"/>
    <sheet state="visible" name="KYC" sheetId="4" r:id="rId8"/>
  </sheets>
  <definedNames/>
  <calcPr/>
</workbook>
</file>

<file path=xl/sharedStrings.xml><?xml version="1.0" encoding="utf-8"?>
<sst xmlns="http://schemas.openxmlformats.org/spreadsheetml/2006/main" count="976" uniqueCount="767">
  <si>
    <t xml:space="preserve">Взять 10–20 последних кейсов и разметить каждый по двум шкалам:
прибыльность (сколько заработали и сколько времени ушло),
риск/сложность (сколько раз упирались в банк, сколько “красных флагов” было).
Верхний правый квадрант — наш профиль. Нижний левый — не берём / передаем.
Что включить в ICP. Оборот, отрасль, страны операций, структура владения, источники средств, публичность, санкционный риск, ожидания “без офиса/без вопросов”.
Результат. Таблица сегментов и пороги: кого берём сразу, кого берём с условиями, кому отказываем.
Единица результата. Короткая формулировка “что считается успехом”.
Выписать ожидания клиента и партнёра и сжать до измеримого результата. Пример.
“Рабочая структура с подтвержденной банковской готовностью, корректной налоговой логикой и комплаенс-пакетом; регистрация компании и лицензия — часть результата, а не результат.”
Результат. Текст для коммерческих предложений (КП), сайта, писем партнерам, обучения команды.
</t>
  </si>
  <si>
    <t>ПРИМЕРЫ УСЛУГ</t>
  </si>
  <si>
    <t xml:space="preserve">Услуга </t>
  </si>
  <si>
    <t xml:space="preserve">имя клиента </t>
  </si>
  <si>
    <t xml:space="preserve">выручка в usdt </t>
  </si>
  <si>
    <t xml:space="preserve">себестоимость </t>
  </si>
  <si>
    <t xml:space="preserve">прибыль </t>
  </si>
  <si>
    <t xml:space="preserve">наш профиль или нет </t>
  </si>
  <si>
    <t xml:space="preserve">сроки </t>
  </si>
  <si>
    <t>Почасовка в часах</t>
  </si>
  <si>
    <t xml:space="preserve">легкость работы с клиентом </t>
  </si>
  <si>
    <t xml:space="preserve">колличество сделок с ним </t>
  </si>
  <si>
    <t xml:space="preserve">продление компании </t>
  </si>
  <si>
    <t xml:space="preserve">наш профиль </t>
  </si>
  <si>
    <t xml:space="preserve">5 рабочих дней </t>
  </si>
  <si>
    <t>клиент своеобразный</t>
  </si>
  <si>
    <t>верефикация трудоустройсво, открытие компании, продление 2 раза , смена граждрасва (документы только в оаэ)</t>
  </si>
  <si>
    <t>доверенность</t>
  </si>
  <si>
    <t>1 рабчий день</t>
  </si>
  <si>
    <t xml:space="preserve">клиент от партнера </t>
  </si>
  <si>
    <t xml:space="preserve">много  ней работы у коллег, у меня один кейс </t>
  </si>
  <si>
    <t>открытие счета физ.лицо</t>
  </si>
  <si>
    <t xml:space="preserve">3 рабочих дня </t>
  </si>
  <si>
    <t>клиент не любит платить, но тут виноват наш партнер Андрей котрый всем бесплатно обещает. в целом клиент норм , также закрыли с ним золотую визу, но в первый раз открыли счет бесплатно , второй раз за деньги .</t>
  </si>
  <si>
    <t xml:space="preserve">верефикация, недвижимость, золотая виза , открытие счета </t>
  </si>
  <si>
    <t xml:space="preserve">эдуард яблоков </t>
  </si>
  <si>
    <t xml:space="preserve">не наш профиль этот кейс </t>
  </si>
  <si>
    <t xml:space="preserve">1 рабочий день </t>
  </si>
  <si>
    <t xml:space="preserve">клиент по общению своеобразный .но норм </t>
  </si>
  <si>
    <t xml:space="preserve">клиент пришел от бывшего партнера на золотую визу и счет, все открыли . далее были запросы как консьердж сервис , попполнить счет телефона и провнрить квартру </t>
  </si>
  <si>
    <t>открытие счета компания</t>
  </si>
  <si>
    <t xml:space="preserve">3 месяца </t>
  </si>
  <si>
    <t xml:space="preserve">очень хороший клиент </t>
  </si>
  <si>
    <t xml:space="preserve">работать было приятнр, но очень сложный кейс в итоге клиент остался доволен </t>
  </si>
  <si>
    <t xml:space="preserve">золотая виза </t>
  </si>
  <si>
    <t>5 дней</t>
  </si>
  <si>
    <t xml:space="preserve">клиент хороший. от партнера </t>
  </si>
  <si>
    <t xml:space="preserve">партнер Кристина, закрыли клиента на все возможные с моей стороны сделки </t>
  </si>
  <si>
    <t xml:space="preserve">доверенность </t>
  </si>
  <si>
    <t>1 день</t>
  </si>
  <si>
    <t>наш постоянный клиент</t>
  </si>
  <si>
    <t xml:space="preserve">шакиб помощь по кузнецову </t>
  </si>
  <si>
    <t xml:space="preserve">больше работа банкира, мы контралировадли и были со стороны банкира лицом и дейсвиями перед клиентом </t>
  </si>
  <si>
    <t xml:space="preserve">2 месяца </t>
  </si>
  <si>
    <t xml:space="preserve">слложно было обьяснить за что платить, так как кейс не совсем про нас, скорее это спасти счет, без гарантии результата, и без прайса, клиент посчитал , что это переоценено  </t>
  </si>
  <si>
    <t xml:space="preserve">естаблищмент кард </t>
  </si>
  <si>
    <t xml:space="preserve">кейс состоял из запра также сьездить в аэропорт подождать клиента и забрать айди, то есть юр услуга плюс консьердж </t>
  </si>
  <si>
    <t>олег открвтие счета физ.лицо</t>
  </si>
  <si>
    <t>1 месяц</t>
  </si>
  <si>
    <t>новый клиент</t>
  </si>
  <si>
    <t xml:space="preserve">сложный очень случай так как клиент оказался кинутый с его слов, не хотел платить в принципе , оплатил ниже прйса на 40% , и то после разговора с нашим партнером </t>
  </si>
  <si>
    <t xml:space="preserve">открытие счета физ.лицо </t>
  </si>
  <si>
    <t xml:space="preserve">клиент от кристины </t>
  </si>
  <si>
    <t>тот случай когда закрыли его сразу на три сдделки, плюс еще фин услуги, партнер получил хорошую комиссию</t>
  </si>
  <si>
    <t>График прибыль vs сроки
Ось X. Срок в рабочих днях, быстрее справа.
Ось Y. Прибыль в USDT.
Линии. Медианы по срокам и прибыли.
Верхний правый квадрант (быстро + выше медианы по прибыли). Примеры: клиент 1 (продление компании), 6 (золотая виза), 15 (открытие счёта), 3 (открытие счёта), 12 (завещание/счёт).
Зона “долго, но денег много”. Клиент 5 (открытие счёта, 3 месяца), клиент 9 (спасти счёт/банкирская история, 2 месяца).
График риск/сложность
“Упирались в банк” и “красные флаги” я посчитал как оценку 0–3 по текстовым маркерам из ваших комментариев (это прокси, не фактология).
Высокий риск/сложность. Клиент 9 (без прайса, без гарантии, “спасти счёт”), клиент 11 (не хотел платить, конфликт ожиданий).
Низкий риск при нормальной марже. Клиенты 1, 6, 12, 15.</t>
  </si>
  <si>
    <t xml:space="preserve">завещание </t>
  </si>
  <si>
    <t>2 дня</t>
  </si>
  <si>
    <t>увольнение</t>
  </si>
  <si>
    <t xml:space="preserve">сопутсвующая услуга </t>
  </si>
  <si>
    <t>услуга которая просто сопутсвующая верефикации (трудоустройсву)</t>
  </si>
  <si>
    <t>ICP. Что фиксировать на входе (и сразу в CRM)
Оборот. Ожидаемый monthly turnover по счёту в банке и годовой оборот бизнеса (диапазоном).
Отрасль. Что продают/делают; есть ли лицензируемая деятельность (fin/crypto/gambling/defense).
Страны операций. Где клиенты/поставщики, где будет выручка, где налоги.
Структура владения. UBO, число уровней, трасты/номиналы/офшоры.
Источники средств. Зарплата/дивиденды/контракты/продажа бизнеса/инвестдоход; наличие подтверждающих документов.
Публичность. PEP, госдолжности, публичные конфликты/суды, негатив в медиа.
Санкционный риск. Гражданства/резиденции UBO, контрагенты, отрасль, страны платежей.
Ожидания “без офиса/без вопросов”. Готовность к KYC/SoF/SoW, визитам, срокам, оплате, отсутствию гарантий решения банка.</t>
  </si>
  <si>
    <t>наш профиль</t>
  </si>
  <si>
    <t>4 дня</t>
  </si>
  <si>
    <t xml:space="preserve">клиент очень хороший , но она не прямой от парнера с кем давно работаем </t>
  </si>
  <si>
    <t xml:space="preserve">деви повышение плюс контракт плюс рера </t>
  </si>
  <si>
    <t xml:space="preserve">Ruble кэнцел виза </t>
  </si>
  <si>
    <t>клиент агенсво недвижимости которое также мы открыли , открыди компанию, открыди счет, бранч в абу даби , открыли визы, сдали рера экзамен</t>
  </si>
  <si>
    <t xml:space="preserve">Ruble рабочая виза </t>
  </si>
  <si>
    <t xml:space="preserve">Ruble повышение жора </t>
  </si>
  <si>
    <t xml:space="preserve">2 дня </t>
  </si>
  <si>
    <t xml:space="preserve">примеры лучшего кейса от клиента , также этот клиент как партнер </t>
  </si>
  <si>
    <t>выручка в $</t>
  </si>
  <si>
    <t>себестоимость</t>
  </si>
  <si>
    <t>Услуга</t>
  </si>
  <si>
    <t>Клиент</t>
  </si>
  <si>
    <t>Выручка_USDT</t>
  </si>
  <si>
    <t>Себестоимость_USDT</t>
  </si>
  <si>
    <t>Прибыль_USDT</t>
  </si>
  <si>
    <t>Дни</t>
  </si>
  <si>
    <t>Сроки</t>
  </si>
  <si>
    <t>Профиль</t>
  </si>
  <si>
    <t>Легкость_коммуникации</t>
  </si>
  <si>
    <t>Заметки</t>
  </si>
  <si>
    <t>Упирались_в_банк_оценка_0_3</t>
  </si>
  <si>
    <t>Красные_флаги_оценка_0_3</t>
  </si>
  <si>
    <t>Риск_сумма_0_6</t>
  </si>
  <si>
    <t>Сегмент</t>
  </si>
  <si>
    <t>Прибыль_в_день</t>
  </si>
  <si>
    <t xml:space="preserve">открытие компани Ruble  часть первая </t>
  </si>
  <si>
    <t xml:space="preserve">Жора </t>
  </si>
  <si>
    <t xml:space="preserve">основная услуга </t>
  </si>
  <si>
    <t>продление компании</t>
  </si>
  <si>
    <t>5 рабочих дней</t>
  </si>
  <si>
    <t>A. Берём сразу</t>
  </si>
  <si>
    <t>930.4</t>
  </si>
  <si>
    <t>открытие компани Ruble  часть п</t>
  </si>
  <si>
    <t>1 рабочий день</t>
  </si>
  <si>
    <t>клиент от партнера</t>
  </si>
  <si>
    <t>много ней работы у коллег, у меня один кейс</t>
  </si>
  <si>
    <t>C. Отказываем/передаём</t>
  </si>
  <si>
    <t>жора исигнатур</t>
  </si>
  <si>
    <t>жора</t>
  </si>
  <si>
    <t xml:space="preserve">сопутсвующие </t>
  </si>
  <si>
    <t>открытие счета</t>
  </si>
  <si>
    <t>3 рабочих дня</t>
  </si>
  <si>
    <t>верефикация, недвижимость, золотая виза , открытие счета</t>
  </si>
  <si>
    <t>визы жора</t>
  </si>
  <si>
    <t>эдуард яблоков</t>
  </si>
  <si>
    <t>не наш профиль этот кейс</t>
  </si>
  <si>
    <t>клиент по общению своеобразный .но норм</t>
  </si>
  <si>
    <t>клиент пришел от бывшего партнера на золотую визу и счет, все открыли . далее были запросы как консьердж сервис , попполнить счет телефона и провнрить квартру</t>
  </si>
  <si>
    <t xml:space="preserve">рера жора </t>
  </si>
  <si>
    <t>3 месяца</t>
  </si>
  <si>
    <t>очень хороший клиент</t>
  </si>
  <si>
    <t>работать было приятнр, но очень сложный кейс в итоге клиент остался доволен</t>
  </si>
  <si>
    <t>B. Берём с условиями</t>
  </si>
  <si>
    <t>51.06969697</t>
  </si>
  <si>
    <t>золотая виза</t>
  </si>
  <si>
    <t>клиент хороший. от партнера</t>
  </si>
  <si>
    <t>партнер Кристина, закрыли клиента на все возможные с моей стороны сделки</t>
  </si>
  <si>
    <t>426.2</t>
  </si>
  <si>
    <t xml:space="preserve">как партнер принес нам </t>
  </si>
  <si>
    <t>шакиб помощь по кузнецову</t>
  </si>
  <si>
    <t>2 месяца</t>
  </si>
  <si>
    <t>больше работа банкира, мы контралировадли и были со стороны банкира лицом и дейсвиями перед клиентом</t>
  </si>
  <si>
    <t>слложно было обьяснить за что платить, так как кейс не совсем про нас, скорее это спасти счет, без гарантии результата, и без прайса, клиент посчитал , что это переоценено</t>
  </si>
  <si>
    <t>62.09090909</t>
  </si>
  <si>
    <t>естаблищмент кард</t>
  </si>
  <si>
    <t>кейс состоял из запра также сьездить в аэропорт подождать клиента и забрать айди, то есть юр услуга плюс консьердж</t>
  </si>
  <si>
    <t>олег открвтие счета</t>
  </si>
  <si>
    <t>сложный очень случай так как клиент оказался кинутый с его слов, не хотел платить в принципе , оплатил ниже прйса на 40% , и то после разговора с нашим партнером</t>
  </si>
  <si>
    <t>45.45454545</t>
  </si>
  <si>
    <t xml:space="preserve">открытие счета </t>
  </si>
  <si>
    <t>ильгар</t>
  </si>
  <si>
    <t>завещание</t>
  </si>
  <si>
    <t>клиент от кристины</t>
  </si>
  <si>
    <t>илгар  мамедов</t>
  </si>
  <si>
    <t>сопутсвующая услуга</t>
  </si>
  <si>
    <t xml:space="preserve">Итого с Жоры мы заработали </t>
  </si>
  <si>
    <t>клиент очень хороший , но она не прямой от парнера с кем давно работаем</t>
  </si>
  <si>
    <t>деви повышение плюс контракт плюс рера</t>
  </si>
  <si>
    <t xml:space="preserve">примеры лучшего кейса от клиента  прямой клиент </t>
  </si>
  <si>
    <t>Ruble кэнцел виза</t>
  </si>
  <si>
    <t>минский золотая виза</t>
  </si>
  <si>
    <t>Станислав минский</t>
  </si>
  <si>
    <t>Ruble повышение жора</t>
  </si>
  <si>
    <t>минский компания</t>
  </si>
  <si>
    <t>станислав минский</t>
  </si>
  <si>
    <t>Ruble рабочая виза</t>
  </si>
  <si>
    <t>120.75</t>
  </si>
  <si>
    <t xml:space="preserve">юр услуги минский </t>
  </si>
  <si>
    <t xml:space="preserve">виза минский </t>
  </si>
  <si>
    <t xml:space="preserve">минский детская виза </t>
  </si>
  <si>
    <t xml:space="preserve">клиент пришел, за золотой визой, потом открыл компанию, счет ему не нужно было открывать, но он получил от нас бесплатную консультауцию, далее помогли ему разобраться со старой компанией которую не прфесионально закрыли </t>
  </si>
  <si>
    <t>ИДЕАЛЬНЫЙ КЛИЕНТ</t>
  </si>
  <si>
    <t>Наш идеальный клиент — это клиент, который:
приходит не за одной услугой, а за решением, готов к 
процедурам и комплаенсу, имеет понятную 
структуру владения и источник средств, 
планирует несколько шагов (бизнес, счёт, визы, 
сопровождение), понимает ценность юридической и 
банковской логики. а не думает , что дубай это фигня за деньги, где 
все можно купить, либо это не государсво со своими правилами 
Для каждой услуги мы фиксируем 6 параметров:
 1. Кто он (роль / тип клиента)
 2. В какой ситуации он к нам приходит
 3. Главная боль / страх
 4. Что для него критично при выборе провайдера
 5. Признаки “наш / не наш”
 6. Какую ценность он реально покупает (не услугу)
Какие параметры мы включаем в ICP?
оборот бизнеса, отрасль деятельности, граждансво клиентов 
и зачем вообще ему нужно эта услуга, структура владения,
источник средств, публичность клиента, санкционный риск,
ожидания клиента (работа “по правилам” vs “без вопросов”).</t>
  </si>
  <si>
    <t>1️⃣ Premium Advisory / Bankable Structure
Кто он
 • Обычно это предприниматель из разряда Клуба 500 
 • Владелец бизнеса / капитала
 • реже - CFO / Family Office
 • еще реже - Юрист или налоговый консультант, действующий от имени клиента
Ситуация
 • Нужно выстроить или переделать структуру в ОАЭ
 • Есть страх отказа банка, KYC, налоговых / санкционных последствий дома в европе
 • Часто уже был негативный опыт с «company setup за 5 дней»
Главная боль
 • ❌ Блокировка счёта, Невозможность перемещения денег из РФ / ЕВРО /США
 • ❌ Репутационные и налоговые риски
 • ❌ Непредсказуемый финал после регистрации
Критично при выборе
 • Banking-first
 • Умение сказать «нет»
 • Предсказуемый процесс и результат
 • Репутация и глубина, а не скорость
Наш / не наш
 • ✅ Готов раскрывать source of funds
 • ✅ Смотрит на 3–5 лет вперёд
 • ❌ Спрашивает «гарантию счёта» (Хотя мы тут тоже гарантируем, и говорим что
 возврат денег 100%)
 • ❌ Хочет «самое дешёвое»
Что он покупает на самом деле
Спокойствие и структуру, которую можно защитить перед банком, налоговой и партнёрами</t>
  </si>
  <si>
    <t xml:space="preserve">  2️⃣ Corporate &amp; Business Services
(регистрация, лицензии, бухгалтерия, сопровождение)
Кто он
 • Действующий бизнес в РФ и хочет масштабироваться в ОАЭ
 • обычно собственник (не операционный директор)
 • Компания, может быть уже зарегистрированная в ОАЭ
Ситуация
 • Нужно открыть компанию с банковским счетом или просто счет
 • Банк давит, лицензия продлевается, substance под вопросом
Главная боль
 • ❌ Бардак из подрядчиков, все пиздят, скрытые платежи
 • ❌ Делают плохо и долго, не доделывают
 • ❌ Мало экспертов
Критично при выборе
 • Системность
 • Ответственность
 • Единый координатор
Наш / не наш
 • ✅ Ценит отзывы, скорость, четкость
 • ❌ Хочет подумать, сравнить, посоветоваться с астрологом
Что покупает
Управляемость и отсутствие сюрпризов</t>
  </si>
  <si>
    <t>3️⃣ Visa &amp; Immigration (включая Golden Visa)
Кто он
 • Инвестор
 • Владелец бизнеса
 • Семья, привязанная к бизнес-решениям
Ситуация
 • Виза - как доступ к счету банковскому / Брокерскому
• Виза - как безопаснотсь сбережений, перемещений денег
 • Виза - как возможность ипотеки / кредитования
Главная боль
 • ❌ Непонятно у кого оформлять, разброс цен, 
гавно-компании
 • ❌ Зависимость визы от кривой структуры
Критично
 • Законность
 • Связь с бизнес- и налоговой логикой
Наш / не наш
 • ✅ Понимает, что виза — часть системы
 • ❌ «Мне только визу, остальное не интересно»
Что покупает
Стабильный статус без риска отката</t>
  </si>
  <si>
    <t>4️⃣ Real Estate (private &amp; investment)
Кто он
 • Инвестор / простой предприниматель / Криптан
 • Клиент из partner network
 • Уже имеет или планирует структуру в ОАЭ
Ситуация
 • Недвижимость как часть стратегии
 • Недвижка как вывод из крипты во что-то твердое
 • Переезд / Смена налогового резидентства
Главная боль
 • ❌ Купить «не туда и не так»
 • ❌ Не продать
Критично
 • Не объект, а логика владения
 • Post-sale сопровождение
Наш / не наш
 • ✅ Инвестор, а не «охотник за скидкой»
 • ❌ «Покажите 20 объектов»
Что покупает
Актив, встроенный в его долгосрочную картину</t>
  </si>
  <si>
    <t>5️⃣ Finance Broker / Investments
Кто он
 • HNWI
 • Предприниматель
 • Family Office
Ситуация
 • Нужно управлять капиталом за пределами одной страны
 • Банки, переводы, инвестиции, USDT
Главная боль
 • ❌ Потеря контроля
 • ❌ Блокировки
 • ❌ Фрагментированность
Критично
 • Законность
 • Контроль
 • Прозрачность
Наш / не наш
 • ✅ Считает риски
 • ❌ Ищет «серые схемы»
Что покупает
Контроль и предсказуемость движения капитала</t>
  </si>
  <si>
    <t>6️⃣ Partner / Broker Track
Кто он
 • Брокер / Предприниматель / Сообщество / Чел на движе
 • Юрист
 • Финансовый консультант
 • Агентство вне ОАЭ
Ситуация
 • Есть клиенты, но нет локального execution
 • Страшно «отдать клиента»
Главная боль
 • ❌ Потеря лица
 • ❌ Потеря клиента
 • ❌ Невыплаты
Критично
 • Ownership клиента
 • Гарантии выплат
 • Профессиональный уровень
Наш / не наш
 • ✅ Ценит правила
 • ❌ Хочет «быстро и без ответственности»
Что покупает
Безопасного execution-партнёра в ОАЭ</t>
  </si>
  <si>
    <t xml:space="preserve">РЕЗУЛЬТАТ ЭТО </t>
  </si>
  <si>
    <t>Единица результата WTP — это не регистрация компании и не открытие счёта.
Это состояние, в котором бизнес клиента в ОАЭ:
 • принят банком и имеет рабочую операционность
 • документально защищён с точки зрения KYC / AML / ESR
 • логичен с точки зрения налогов в стране резидентства
 • масштабируем и выдерживает проверки
 • не требует «ручного тушения пожаров»
Если структура не выдерживает банк и проверки — результат не достигнут.
ИЛИ 
Результат WTP = клиент переведён из зоны неопределённого риска
в зону управляемости и предсказуемости.
Мы работаем с клиентами, которые строят бизнес и готовы к правилам.
Мы продаём не отдельные услуги, а рабочие решения.
Регистрация компании, лицензии, визы и банковские счета — части 
результата, а не самостоятельная цель.</t>
  </si>
  <si>
    <t>🔹 Premium Advisory / Bankable Structure
Результат:
Клиент получает структуру, которую можно защитить перед банком, налоговой и 
партнёрами, а не просто набор документов.
Что внутри (как инструменты):
 • risk pre-check
 • banking-first маршрут
 • юридическая и налоговая логика
 • сопровождение до рабочей операционности
Когда продукт считается завершённым:
✔ счёт открыт и используется
✔ структура прошла KYC без костылей</t>
  </si>
  <si>
    <t>🔹 Corporate &amp; Business Services
Результат:
Бизнес клиента в ОАЭ работает стабильно и без комплаенс-сюрпризов.
Что внутри:
 • лицензии
 • продления
 • бухгалтерия, AML
 • ESR / substance
 • операционное сопровождение
Финал:
✔ есть четкие ответы на все вопросы банка
✔ нет штрафов и срочных переделок</t>
  </si>
  <si>
    <t>🔹 Visa &amp; Immigration
Результат:
Клиент имеет устойчивый резидентский статус, не конфликтующий с бизнес- и налоговой логикой.
У Клиента работающие багнковские счета
Важно:
Виза — следствие правильной структуры, а не самостоятельный продукт.</t>
  </si>
  <si>
    <t>🔹 Real Estate (Investment &amp; Private)
Результат:
Недвижимость клиента встроена в его общую стратегию:
 владение, налоги, резидентность, наследование.
Финал:
✔ объект не создаёт проблем
✔ Есть четкое понимание что делать дальше с объектом
✔ актив усиливает структуру, а не ломает её</t>
  </si>
  <si>
    <t>🔹 Finance Broker / Capital Flow / Investment
Результат:
Капитал клиента движется легально, контролируемо и 
предсказуемо между юрисдикциями. Открыт доступ к твердым 
инвестиционным продуктам с понятной рентабильностью.
Финал:
✔ нет блокировок
✔ понятна логика транзакций
✔ сохранён контроль
✔ деньги создают деньги</t>
  </si>
  <si>
    <t>🔹 Partner / Broker Track
Результат:
Клиент Партнёра регулярно закрывает сделки через WTP. Рекомендует другим клиентам, 
переходя из клиента в разряд Партнера.
Финал:
✔ клиент закреплён за партнёром
✔ процесс прозрачен
✔ выплаты гарантированы
✔ клиент становится партнером</t>
  </si>
  <si>
    <t>RISK VERDICT</t>
  </si>
  <si>
    <t>Кого мы берём сразу?
клиентов с потенциалом нескольких услуг,
партнёров и повторных клиентов,
бизнес с прозрачной логикой,
клиентов, ориентированных на долгосрочную работу.</t>
  </si>
  <si>
    <t>Кого берём с условиями?
сложные банковские кейсы,
кейсы без гарантии результата,
клиенты со сложной структурой или юрисдикциями.
Условия:
повышенная цена,
заранее зафиксированный объём работ,
отсутствие гарантий результата.</t>
  </si>
  <si>
    <t>Кого мы не берём?
Санкционьщки, запросы  сделайте как нибудь юез документов , информации обратной связи и желательно бесплатно ,
клиенты, не готовые платить  предоплату если она подрузумевается ,
разовые мелкие задачи без потенциала продолжения,
консьерж-запросы вне партнёрских отношений.</t>
  </si>
  <si>
    <t>Как мы работаем с консьерж-запросами?
Консьерж-задачи выполняем:
только для партнёра Фердинанда,
только по почасовой ставке,
пакетом по подписке  юридических услуг.</t>
  </si>
  <si>
    <t>Как устроена оплата консьержа?
оплата за время работы, а не за результат,
минимальный оплачиваемый час,
ставка фиксированная,
юридические и комплаенс-задачи оплачиваются отдельно.</t>
  </si>
  <si>
    <t xml:space="preserve">АНКЕТА / список документов </t>
  </si>
  <si>
    <t>Documents : 
Provide this documents for owner:
1-original EID &amp; passport
2-company profile with business cycle/ mention the customer suppliers along with their location 
3- bank statement 6 month translate in English 
4- wealth accumulation with supporting documents ( source of wealth )
5- CV
6- legal documents .. Trade License</t>
  </si>
  <si>
    <t>Комментарии - для банка очень важно понимать полный цикл работы
 компании. Откуда идут деньги, какие суммы, кто поставщики и т.д.
чтобы заранее занести это в профиль клиента. 
Отказы по открытию счетов есть по Нефтянке / Оборудование - это 
Hi Risk. Real Estate для эмиратских банков - это тоже High Risk - 
поэтому открываются долго и требуют много внимания особенно на 
паспорта РФ. (Оборнка и крипто это понятно серые услуги, поэтому
 даже не беремся за это)</t>
  </si>
  <si>
    <t xml:space="preserve">7. Sometimes utilities bills. And any source of address </t>
  </si>
  <si>
    <t xml:space="preserve">8. For families visa legalisations documents birth and marriages certificate </t>
  </si>
  <si>
    <t xml:space="preserve">9. Tittle deeds , окуд и стайтментс для золотой визы </t>
  </si>
  <si>
    <t>ПРИМЕР ЗАПРОСА  /  СХЕМА BANKING FIRST</t>
  </si>
  <si>
    <t>Например: «Хочу открыть компанию в ОАЭ».
На этом этапе мы не начинаем регистрацию и не обещаем результат.
Наша задача — (Banking first ) сначала понять:
кто клиент,
что за бизнес,
можно ли с этим работать с точки зрения банков и комплаенса.</t>
  </si>
  <si>
    <t>KYC light (быстрая проверка)
Смотрим на кейс глазами банка:
возможные red flags,
логика бизнеса,
потенциальные сложности.
Отправляем документы банкиру на предварительную проверку личности. 
Получаем положительный ответ и только тогда двигаемся дальше</t>
  </si>
  <si>
    <t xml:space="preserve"> </t>
  </si>
  <si>
    <t>вердикт)
Принимаем решение:
✅ берём,
⚠ берём с условиями,
❌ не берём / предлагаем альтернативу.
⬇️
(если ❌ — процесс останавливается здесь)</t>
  </si>
  <si>
    <t>Если кейс проходимый:</t>
  </si>
  <si>
    <t>определяем, в какие банки есть реальный шанс,</t>
  </si>
  <si>
    <t>понимаем требования банков,</t>
  </si>
  <si>
    <t xml:space="preserve">под это подбираем структуру какие документы мы просим и объявляем стоимость да счет </t>
  </si>
  <si>
    <r>
      <rPr>
        <rFont val="Arial"/>
        <color rgb="FF000000"/>
      </rPr>
      <t>Только после банковской стратегии</t>
    </r>
    <r>
      <rPr>
        <rFont val="Arial"/>
        <color rgb="FF000000"/>
      </rPr>
      <t>:</t>
    </r>
  </si>
  <si>
    <t xml:space="preserve">выбираем зону ,(либо это зависит от товара или услуги ) какая цель . </t>
  </si>
  <si>
    <t>регистрируем компанию,</t>
  </si>
  <si>
    <t>делаем это под конкретную цель — банк.</t>
  </si>
  <si>
    <t>Подача в банк
подаём документы,
отвечаем на вопросы,
дорабатываем пакет при необходимости.</t>
  </si>
  <si>
    <t>Сопровождение до результата
Ведём кейс до момента, когда:
структура принята банком,
комплаенс закрыт,
клиент может работать.</t>
  </si>
  <si>
    <t>Рабочая бизнес-структура, принятая банком и регуляторами, с понятной налоговой логикой и корректным комплаенсом.
Компания, лицензия, визы и подача в банк — этапы процесса, а не конечная цель.</t>
  </si>
  <si>
    <t>📋 WTP — Каталог услуг (поштучно) - кратко</t>
  </si>
  <si>
    <t>Категория</t>
  </si>
  <si>
    <t>Краткое описание</t>
  </si>
  <si>
    <t>Итоговый результат</t>
  </si>
  <si>
    <t>Advisory</t>
  </si>
  <si>
    <t>Real Estate Consultant (Advisory)</t>
  </si>
  <si>
    <t>Стратегия покупки/инвестиций, анализ целей и рисков</t>
  </si>
  <si>
    <t>Понятная стратегия по недвижимости</t>
  </si>
  <si>
    <t>Legal Advisory</t>
  </si>
  <si>
    <t>Юридический анализ структуры и сделок</t>
  </si>
  <si>
    <t>Контролируемые юридические риски</t>
  </si>
  <si>
    <t>Mortgage Consultant (Advisory)</t>
  </si>
  <si>
    <t>Оценка готовности к ипотеке</t>
  </si>
  <si>
    <t>Понимание доступной ипотеки</t>
  </si>
  <si>
    <t>Financial Consulting (Advisory)</t>
  </si>
  <si>
    <t>Анализ платежей и структуры переводов</t>
  </si>
  <si>
    <t>Платёжная и банковская ясность</t>
  </si>
  <si>
    <t>Residency</t>
  </si>
  <si>
    <t>UAE Residency Visa</t>
  </si>
  <si>
    <t>Получение резидентской визы UAE</t>
  </si>
  <si>
    <t>Законный статус резидента</t>
  </si>
  <si>
    <t>Emirates ID</t>
  </si>
  <si>
    <t>Биометрия и ID как часть визы</t>
  </si>
  <si>
    <t>Emirates ID выпущен</t>
  </si>
  <si>
    <t>Tax Residency Strategy</t>
  </si>
  <si>
    <t>Анализ и стратегия налогового резидентства</t>
  </si>
  <si>
    <t>Понимание налогового статуса</t>
  </si>
  <si>
    <t>Banking (Personal)</t>
  </si>
  <si>
    <t>Personal Banking Account</t>
  </si>
  <si>
    <t>Открытие личного банковского счёта</t>
  </si>
  <si>
    <t>Рабочий личный счёт</t>
  </si>
  <si>
    <t>Premium Banking Account</t>
  </si>
  <si>
    <t>Priority / Private banking</t>
  </si>
  <si>
    <t>Доступ к premium-банкингу</t>
  </si>
  <si>
    <t>Business Setup</t>
  </si>
  <si>
    <t>Company Setup &amp; License</t>
  </si>
  <si>
    <t>Регистрация компании и лицензии</t>
  </si>
  <si>
    <t>Легальная компания</t>
  </si>
  <si>
    <t>Corporate Bank Account</t>
  </si>
  <si>
    <t>Открытие корпоративного счёта</t>
  </si>
  <si>
    <t>Рабочий корпоративный счёт</t>
  </si>
  <si>
    <t>VAT Registration</t>
  </si>
  <si>
    <t>Регистрация VAT (при необходимости)</t>
  </si>
  <si>
    <t>VAT номер получен</t>
  </si>
  <si>
    <t>Corporate Tax Registration</t>
  </si>
  <si>
    <t>Регистрация Corporate Tax</t>
  </si>
  <si>
    <t>CT регистрация завершена</t>
  </si>
  <si>
    <t>Operations</t>
  </si>
  <si>
    <t>Accounting &amp; Tax Reporting</t>
  </si>
  <si>
    <t>Ведение бухучёта и отчётности</t>
  </si>
  <si>
    <t>Compliance без штрафов</t>
  </si>
  <si>
    <t>Employee Visa &amp; Company Support</t>
  </si>
  <si>
    <t>Визы сотрудников, establishment card</t>
  </si>
  <si>
    <t>Легальный статус персонала</t>
  </si>
  <si>
    <t>Financial Consulting (Payments)</t>
  </si>
  <si>
    <t>Сопровождение платежей и переводов</t>
  </si>
  <si>
    <t>Платежи проходят без блокировок</t>
  </si>
  <si>
    <t>Real Estate</t>
  </si>
  <si>
    <t>Real Estate Consultant (Execution)</t>
  </si>
  <si>
    <t>Подбор и сопровождение сделки</t>
  </si>
  <si>
    <t>Объект подобран под цель</t>
  </si>
  <si>
    <t>Mortgage Readiness &amp; Execution</t>
  </si>
  <si>
    <t>Подготовка и оформление ипотеки</t>
  </si>
  <si>
    <t>Ипотека оформлена</t>
  </si>
  <si>
    <t>Conveyancing</t>
  </si>
  <si>
    <t>Юридическое закрытие сделки</t>
  </si>
  <si>
    <t>Право собственности оформлено</t>
  </si>
  <si>
    <t>Family</t>
  </si>
  <si>
    <t>School Admission Support</t>
  </si>
  <si>
    <t>Поступление ребёнка в школу</t>
  </si>
  <si>
    <t>Ребёнок зачислен</t>
  </si>
  <si>
    <t>Asset Protection</t>
  </si>
  <si>
    <t>UAE Will</t>
  </si>
  <si>
    <t>Оформление завещания</t>
  </si>
  <si>
    <t>Завещание зарегистрировано</t>
  </si>
  <si>
    <t>Foundation / Asset Protection</t>
  </si>
  <si>
    <t>Структурирование владения активами</t>
  </si>
  <si>
    <t>Активы защищены</t>
  </si>
  <si>
    <t>Wealth</t>
  </si>
  <si>
    <t>Wealth Management / Portfolio Oversight</t>
  </si>
  <si>
    <t>Независимый контроль капитала</t>
  </si>
  <si>
    <t>Контролируемый портфель</t>
  </si>
  <si>
    <t>Custody Structuring</t>
  </si>
  <si>
    <t>Структурирование хранения активов</t>
  </si>
  <si>
    <t>Активы у лицензированного custodians</t>
  </si>
  <si>
    <t>📋 WTP — Каталог услуг (поштучно)</t>
  </si>
  <si>
    <t xml:space="preserve">Услуги поштучно </t>
  </si>
  <si>
    <t>Столбец 1</t>
  </si>
  <si>
    <t>Столбец 2</t>
  </si>
  <si>
    <t>Столбец 3</t>
  </si>
  <si>
    <t>Столбец 4</t>
  </si>
  <si>
    <t>Column 10</t>
  </si>
  <si>
    <t>Column 9</t>
  </si>
  <si>
    <t>Столбец 5</t>
  </si>
  <si>
    <t>Столбец 6</t>
  </si>
  <si>
    <t>Наименование услуги</t>
  </si>
  <si>
    <t>Что включает?</t>
  </si>
  <si>
    <t>Стоимость</t>
  </si>
  <si>
    <t>Результат</t>
  </si>
  <si>
    <t>Документы</t>
  </si>
  <si>
    <t>Что не входит</t>
  </si>
  <si>
    <t>Требования</t>
  </si>
  <si>
    <t>риски\сложности</t>
  </si>
  <si>
    <t>UAE резидент виза</t>
  </si>
  <si>
    <t xml:space="preserve">Стратегия:• выбор типа визы (инвестор / владелец компании / Golden Visa)• проверка применимости под цели клиента (banking / tax / family)
Подготовка:• сбор и проверка документов• сопровождение по требованиям миграционных органов
Оформление:• VIP medical test• Emirates ID• биометрия
Налоги:• получение Tax Residency Certificate (при применимости)• разъяснение налогового статуса
</t>
  </si>
  <si>
    <t>Fee: фиксированный (пакет)+ гос. сборы отдельно Золотая виза стоимость 17000 aed  при открытие компании в main land виза парнера инвестора 6000 фув виза сотрудника 7800 aed , визы во фри зонах делаются обычно через портал издержки плюс 30%</t>
  </si>
  <si>
    <t xml:space="preserve">золотая виза 5 рабочих дней  виза сотрудника 7 рабочих дней виза инвестора парнера 7 рабочих дней </t>
  </si>
  <si>
    <t>Статус резидента ОАЭ
Основа для открытия банковских счетов
Возможность налогового резидентства</t>
  </si>
  <si>
    <t xml:space="preserve">Emirates ID : 
Приходит коневрт с пластиковой картой ID
Помогоаем установить приложние UAE PASS для использования госуслуг
Банковский счет
На электронную почту приходит Welcome letter c реквизитами счета
Установлено банковское приложение и выполено вход
клиент может принимать и отпроавлять денежные  средства
Обьяснены правила базовые правила использовани и банковсие лимиты
Налоговое резиденство
получен электронный сертификат для страны где будет использоваться нужно быть 183 дня в ОАЭ, для внутреннего пользования достаточно 90 дней </t>
  </si>
  <si>
    <t xml:space="preserve">
        •        банковские и налоговые результаты
        •        любые неофициальные ускорения</t>
  </si>
  <si>
    <t xml:space="preserve">📄 Документыдействующий паспорт
	•	срок действия обычно 6+ месяцев
	•	въездной статус в UAE
	•	entry permit / change status
	•	виза резидента UAE (или процесс её получения)
⸻
2️⃣ Физическое присутствие (обязательно)
🧍‍♂️ Клиент должен:
	•	лично находиться в UAE
	•	пройти:
	•	медицинский осмотр (medical fitness test)
	•	биометрию (фото, отпечатки пальцев)
❌ Удалённо оформить Emirates ID невозможно.
</t>
  </si>
  <si>
    <t>Отказы по medical test; задержки immigration; изменения визовых правил</t>
  </si>
  <si>
    <t>Открытие персонального банковского счёта (UAE)</t>
  </si>
  <si>
    <t xml:space="preserve">Архитектура:• анализ профиля клиента (гражданство, резидентство, источник дохода)• определение оптимальной структуры (single / multi-currency / priority)
Банковская стратегия:• подбор банков под профиль и цели клиента• выбор сценария открытия (onshore / offshore / priority banking)
Compliance-пакет:• KYC и source of funds• подготовка supporting documents• предварительный risk-screening
Сопровождение:• коммуникация с банком• сопровождение до предварционного согласования• координация встречи / видео-интервью (если требуется)
</t>
  </si>
  <si>
    <t>неофициальная услуга по договоренности с банкирами  от 1500$ если человек не резидент то от 4000 $ зависит от паспорта , паспорт РФ всегда от 5000$</t>
  </si>
  <si>
    <t xml:space="preserve">1 неделя </t>
  </si>
  <si>
    <t>✔ Рабочий личный банковский счёт
✔ Подключённый online banking
✔ Понимание лимитов и условий обслуживания</t>
  </si>
  <si>
    <t xml:space="preserve">банковская карта </t>
  </si>
  <si>
    <t xml:space="preserve">
        •        гарантии открытия счёта
        •        управление средствами клиента
        •        налоговое планирование за пределами high-level анализа</t>
  </si>
  <si>
    <t xml:space="preserve">        •        предоставление клиентом полного пакета документов
        •        соблюдение сроков ответа клиентом
        •        отсутствие скрытых рисков (санкции, несоответствие source of funds)</t>
  </si>
  <si>
    <t>отказ банка без объяснения причин; дополнительные compliance-запросы; изменение лимитов</t>
  </si>
  <si>
    <t>Налоговое резидентство (UAE) — анализ и стратегия</t>
  </si>
  <si>
    <t xml:space="preserve">Анализ статуса:• разбор текущего налогового резидентства клиента• анализ стран налогового риска (РФ / ЕС / иные)• оценка требований к физическому присутствию
Стратегия:• определение применимости налогового резидентства ОАЭ• расчёт сценариев (183 дня / tie-breaker / центр жизненных интересов)• рекомендации по структуре доходов и активов
Документы и действия:• подготовка roadmap для получения Tax Residency Certificate (TRC)• рекомендации по визе, жилью, счетам• координация шагов с банковской и юридической стратегией
Сопровождение:• подготовка пакета для подачи на TRC (если применимо)• взаимодействие с органами при необходимости
</t>
  </si>
  <si>
    <t>Fee: фиксированный (advisory)+ госпошлины отдельно (при подаче TRC)</t>
  </si>
  <si>
    <t>1–2 недели</t>
  </si>
  <si>
    <t xml:space="preserve">✔ Понятен налоговый статус клиента
✔ Зафиксирована стратегия налогового резидентства
✔ Roadmap получения TRC или аргументированное “неприменимо”
</t>
  </si>
  <si>
    <t xml:space="preserve">travel report , человек должен быть в стране , что бы его заказать  получает  tax reseвуncy certificate  на год который запрашивал </t>
  </si>
  <si>
    <t xml:space="preserve">	•	налоговое декларирование
	•	подготовка отчётности
	•	представительство в налоговых спорах
	•	гарантии признания резидентства другими странами</t>
  </si>
  <si>
    <t xml:space="preserve">        •        достоверная информация о доходах и активах
        •        соблюдение рекомендаций по пребыванию и структуре
        •        отсутствие конфликтующих налоговых обязательств   •        банковская выписка за 6 месяцев  подтверждение проживания  в ОАЭ, рабочий сертификат, либо владение бизнесом </t>
  </si>
  <si>
    <t>отказ в связи с недостаточным колличесвом дней</t>
  </si>
  <si>
    <t>Real Estate Consultant (жильё / инвестиции)</t>
  </si>
  <si>
    <t xml:space="preserve">Анализ целей:• определение цели покупки (жизнь / инвестиции / ВНЖ / диверсификация)• анализ горизонта, ликвидности и tolerance к риску• учёт семьи, образования, налоговой стратегии
Стратегия:• подбор районов и типов объектов (off-plan / secondary / rental yield)• оценка соответствия банковским и визовым требованиям• сценарии выхода и future liquidity
Подбор и due diligence:• short-list объектов под стратегию клиента• проверка застройщика / проекта / документов• финансовая модель (ROI / cashflow / break-even)Сопровождение сделки:• координация с брокерами и застройщиками• сопровождение SPA / MOU• взаимодействие с банками, юристами, нотариусами
Интеграция:• привязка недвижимости к визе, ипотеке, наследству• рекомендации по владению (лично / через компанию / foundation)
</t>
  </si>
  <si>
    <t>Fee: фиксированный или success-based+ расходы по сделке отдельно</t>
  </si>
  <si>
    <t>2–8 недель (до сделки)</t>
  </si>
  <si>
    <t>✔ Подобран объект под цель клиента
✔ Сделка структурирована и безопасна
✔ Недвижимость встроена в общую стратегию клиента</t>
  </si>
  <si>
    <t xml:space="preserve">	•	брокерская функция по умолчанию
	•	управление объектом (property management)
	•	гарантии доходности</t>
  </si>
  <si>
    <t xml:space="preserve">	•	прозрачный бюджет клиента
	•	соблюдение сроков принятия решений
	•	отсутствие скрытых юридических ограничений</t>
  </si>
  <si>
    <t>Цели клиента могут быть нереалистичны; рынок может измениться; решение клиента может быть отложено</t>
  </si>
  <si>
    <t>Регистрация компании и получение лицензии (UAE)</t>
  </si>
  <si>
    <t xml:space="preserve">Стратегия и выбор юрисдикции:• анализ целей компании (операционная / holding / investment)• выбор оптимальной юрисдикции (mainland / freezone)• подбор типа лицензии под деятельность и банки
Регистрация компании:• подготовка и подача регистрационных документов• регистрация компании в выбранной юрисдикции• получение базовой лицензии
Иммиграционный контур:• оформление визы владельца компании• координация Emirates ID и биометрии
Compliance-структура:• первичная KYC / UBO структура• настройка ownership и управленческой логики• подготовка компании к банковскому этап
</t>
  </si>
  <si>
    <t xml:space="preserve">Fee: 20-30%+ государственные сборы отдельно, плюс иногда опционально  (покупка адреса для компании ejari , открытие банковского счета от 16000 aed, регистрация на tax.регистрация лейбор карты) </t>
  </si>
  <si>
    <t xml:space="preserve">2 -4 недели вместе со счетом </t>
  </si>
  <si>
    <t xml:space="preserve">✔ Легальная, юридически зарегистрированная компания
✔ Законный статус владельца компании
✔ Компания готова к открытию банковского счёта и операционной деятельности
</t>
  </si>
  <si>
    <t xml:space="preserve">лицензия , меморандум , если фри зона то дополнительно share resolutions и тд , establisment card , Mohre app, ejary </t>
  </si>
  <si>
    <t>открытие корпоративного банковского счёта
	•	бухгалтерия и отчётность
	•	VAT / Corporate Tax регистрация
	•	real presence / substance
	•	операционное управление бизнесом</t>
  </si>
  <si>
    <t xml:space="preserve">	•	корректное описание деятельности
	•	прозрачная структура владения
	•	своевременное предоставление документов клиентом</t>
  </si>
  <si>
    <t>Ограничения по деятельности; изменения регуляторных требований; необходимость корректировки лицензии</t>
  </si>
  <si>
    <t>Ипотека (Mortgage Readiness &amp; Execution)</t>
  </si>
  <si>
    <t>Mortgage readiness:• анализ финансового профиля клиента (доходы, активы, резидентство)• оценка соответствия требованиям банков ОАЭ• анализ источников средств и кредитной истории
Банковская стратегия:• подбор банков и ипотечных программ• расчёт доступного бюджета и LTV• подготовка структуры покупки (лично / через компанию)
Подготовка документов:• формирование пакета для pre-approval• координация с банками и брокерами• сопровождение интервью и запросов банка
Execution:• получение предварительного одобрения (pre-approval)• сопровождение оценки объекта• координация ипотечного договора• интеграция с SPA / MOU и сделкой по недвижимости</t>
  </si>
  <si>
    <t>Fee: фиксированный (по этапам)+ банковские и оценочные сборы отдельно</t>
  </si>
  <si>
    <t xml:space="preserve">
3–8 недель (до сделки)</t>
  </si>
  <si>
    <t>✔ Клиент готов к ипотеке
✔ Получено банковское одобрение (pre-approval)
✔ Ипотека оформлена и встроена в сделку</t>
  </si>
  <si>
    <t xml:space="preserve">	•	гарантии одобрения ипотеки
	•	влияние на кредитное решение банка
	•	управление объектом после покупки</t>
  </si>
  <si>
    <t xml:space="preserve">	•	прозрачные и подтверждённые доходы
	•	соблюдение требований банков и сроков
	•	корректный выбор объекта недвижимости</t>
  </si>
  <si>
    <t>Доходы клиента могут не соответствовать требованиям банков; изменение кредитной политики банков</t>
  </si>
  <si>
    <t>Бухгалтерия и налоговая отчётность (ongoing)</t>
  </si>
  <si>
    <t xml:space="preserve">Бухгалтерский контур:• настройка учёта в соответствии с деятельностью компании• ведение бухгалтерских записей• классификация операций и контрагентов
Налоговая отчётность:• подготовка и сдача VAT отчётности (если применимо)• подготовка и сдача Corporate Tax отчётности• контроль налоговых дедлайнов
Compliance и контроль:• проверка соответствия операций лицензии• контроль рисковых транзакций• подготовка документов для банков и регуляторов
Взаимодействие:• координация с банками при запросах• ответы на запросы налоговых органов• регулярные отчёты клиенту
</t>
  </si>
  <si>
    <t>Fee: ежемесячный retainer+ возможные внешние сборы отдельно</t>
  </si>
  <si>
    <t>Ongoing (ежемесячно / квартально)</t>
  </si>
  <si>
    <t>✔ Корректный бухгалтерский и налоговый учёт
✔ Своевременно сданная отчётность
✔ Минимизация штрафов и compliance-рисков</t>
  </si>
  <si>
    <t xml:space="preserve">      	•	управление денежными потоками клиента
	•	оптимизация налогов с нарушением законодательства
	•	представительство в судебных спорах
	•	аудит (если отдельно не согласован)</t>
  </si>
  <si>
    <t xml:space="preserve">	•	своевременное предоставление документов клиентом
	•	отсутствие неучтённых операций
	•	соблюдение рекомендованной структуры деятельности</t>
  </si>
  <si>
    <t>Задержки документов от клиента; штрафы за несвоевременную отчётность</t>
  </si>
  <si>
    <t>Открытие корпоративного банковского счёта (UAE)</t>
  </si>
  <si>
    <t xml:space="preserve">Анализ и архитектура:• анализ бизнес-модели компании и деятельности• проверка структуры владения (UBO)• оценка юрисдикционных и санкционных рисков
Банковская стратегия:• подбор банков под профиль компании• выбор типа счёта (operational / holding / escrow)• согласование требований по оборотам и substance
Compliance-пакет:• подготовка полного KYC / UBO пакета• source of funds / source of business• подготовка supporting documents
Сопровождение:• коммуникация с банком• сопровождение до предварительного согласования• координация интервью с банком• сопровождение до открытия счёта
</t>
  </si>
  <si>
    <t xml:space="preserve">Fee: по договоренности с банкиром , минимум от 16000 aed , если нужна инспекция от банка  , то отдельно оплата от 500 аед за инспекцию </t>
  </si>
  <si>
    <t>3–8 недель</t>
  </si>
  <si>
    <t>✔ Рабочий корпоративный банковский счёт
✔ Подключённый online banking
✔ Понятные лимиты и условия обслуживания</t>
  </si>
  <si>
    <t xml:space="preserve">банковская карта , чековая книжка , онлайн банк </t>
  </si>
  <si>
    <t xml:space="preserve">	•	гарантии открытия счёта
	•	управление средствами компании
	•	маскировка реальной деятельности
	•	обход банковских требований</t>
  </si>
  <si>
    <t xml:space="preserve">	•	прозрачная бизнес-модель
	•	корректная лицензия
	•	подтверждённые источники средств
	•	соблюдение сроков ответа клиентом</t>
  </si>
  <si>
    <t>Банки могут отказать из-за бизнес-модели; требования substance; длительные проверки</t>
  </si>
  <si>
    <t>получение налогового сертификата</t>
  </si>
  <si>
    <t>Регистрация VAT и Corporate Tax (UAE)</t>
  </si>
  <si>
    <t xml:space="preserve">Анализ применимости:• анализ деятельности компании и оборотов• определение обязанности регистрации VAT• определение статуса по Corporate Tax• оценка налоговых рисков и дедлайнов
Стратегия и подготовка:• выбор оптимального налогового сценария• подготовка данных по деятельности и структуре• проверка соответствия лицензии и операций
Регистрация:• регистрация VAT (при необходимости)• регистрация Corporate Tax• получение соответствующих сертификатов / TRN
Интеграция:• увязка с бухгалтерией и банковской логикой• рекомендации по дальнейшей отчётности
</t>
  </si>
  <si>
    <t>Fee: фиксированный (setup)+ государственные сборы отдельно</t>
  </si>
  <si>
    <t>1–3 недели</t>
  </si>
  <si>
    <t>✔ Компания корректно зарегистрирована в налоговых органах
✔ Получены VAT / Corporate Tax номера (при применимости)
✔ Снижен риск штрафов и нарушений</t>
  </si>
  <si>
    <t xml:space="preserve">Vat и corporate tax certificate </t>
  </si>
  <si>
    <t xml:space="preserve">	•	ведение бухгалтерии
	•	подготовка и сдача налоговой отчётности
	•	представительство в налоговых спорах
	•	оптимизация с нарушением законодательства</t>
  </si>
  <si>
    <t xml:space="preserve">	•	достоверные данные по оборотам
	•	соответствие деятельности лицензии
	•	своевременное предоставление информации клиентом</t>
  </si>
  <si>
    <t>Завещание (UAE Will)</t>
  </si>
  <si>
    <t xml:space="preserve">Анализ ситуации:• анализ семейного состава и наследников• анализ активов в ОАЭ (счета, недвижимость, доли в компаниях)• определение применимого права и рисков
Структурирование:• выбор формата завещания (DIFC / ADJD / иное)• определение распределения активов• назначение опекунов (если применимо)
Подготовка документов:• drafting завещания с юристом• согласование текста с клиентом• подготовка финального пакета
Регистрация:• организация нотариального заверения• регистрация завещания в соответствующем реестре• хранение и передача копий клиенту
</t>
  </si>
  <si>
    <t xml:space="preserve">Fee: от 8000 aed </t>
  </si>
  <si>
    <t xml:space="preserve">2 дня если резидент,  2  дня если не резидент при личном визите в офис </t>
  </si>
  <si>
    <t xml:space="preserve">✔ Юридически действующее завещание в ОАЭ
✔ Контроль распределения активов
✔ Снижение рисков наследственных споров
</t>
  </si>
  <si>
    <t xml:space="preserve">last will заверенное судом и нотариусом на русском и английском языках </t>
  </si>
  <si>
    <t xml:space="preserve">	•	налоговое планирование наследства за пределами ОАЭ
	•	международные наследственные споры
	•	управление активами после наступления наследственного события</t>
  </si>
  <si>
    <t xml:space="preserve">	•	полное раскрытие состава активов
	•	корректное определение наследников
	•	своевременное согласование текста клиентом</t>
  </si>
  <si>
    <t>Ошибки в раскрытии активов; изменения семейной ситуации; международные коллизии</t>
  </si>
  <si>
    <t>Анализ и целеполагание:• анализ структуры активов (недвижимость, счета, доли, инвестиции)• цели клиента: защита / контроль / наследование / конфиденциальность• оценка применимости foundation vs direct ownership
Структурирование:• выбор юрисдикции и типа foundation (DIFC / ADGM / иное)• разработка ownership и governance модели• определение beneficiaries и protector’ов
Юридическая реализация:• подготовка уставных и учредительных документов• регистрация foundation• передача активов (при необходимости)
Интеграция:• увязка с банковскими счетами• согласование с налоговой и наследственной стратегией• рекомендации по дальнейшему сопровождению</t>
  </si>
  <si>
    <t>Fee: фиксированный (structuring package)+ регистрационные и юр. сборы отдельно</t>
  </si>
  <si>
    <t>3–6 недель</t>
  </si>
  <si>
    <t xml:space="preserve">✔ Активы выведены из личного владения
✔ Контроль и преемственность закреплены
✔ Повышена защита от рисков и споров
</t>
  </si>
  <si>
    <t xml:space="preserve">	•	управление активами foundation
	•	инвестиционные решения за клиента
	•	агрессивная налоговая оптимизация
	•	сокрытие активов от регуляторов</t>
  </si>
  <si>
    <t xml:space="preserve">	•	полное раскрытие состава активов
	•	согласованная наследственная логика
	•	соблюдение требований банков и регуляторов</t>
  </si>
  <si>
    <t>Высокие compliance-требования; сложность управления; дополнительные расходы</t>
  </si>
  <si>
    <t xml:space="preserve">Иммиграционный контур компании:• оформление establishment card• взаимодействие с immigration / freezone / MOHRE• контроль квот и статусов сотрудников
Визы сотрудников:• оформление новых виз сотрудников• продление виз и Emirates ID• смена статуса (внутри ОАЭ / заезд–выезд)
Увольнение и отмены:• cancellation виз и labour card• корректное закрытие статуса сотрудника• контроль сроков и штрафов
Compliance и контроль:• ведение реестра виз и дедлайнов• напоминания и контроль сроков продления• подготовка документов по запросам регуляторовКоординация:• коммуникация с госорганами• сопровождение сотрудников по процессу
</t>
  </si>
  <si>
    <t>Fee: фиксированный за кейсили ежемесячный retainer+ гос. сборы отдельно</t>
  </si>
  <si>
    <t>1–3 недели на операциюOngoing — при сопровождении</t>
  </si>
  <si>
    <t>✔ Сотрудники легально оформлены
✔ Визы и статусы под контролем
✔ Компания соблюдает иммиграционные требования</t>
  </si>
  <si>
    <t xml:space="preserve">	•	подбор персонала
	•	управление HR-функцией клиента
	•	дисциплинарные и трудовые споры
	•	юридическое представительство в судах</t>
  </si>
  <si>
    <t xml:space="preserve">	•	своевременное предоставление документов
	•	соблюдение внутренних процедур компании
	•	корректная информация по сотрудникам</t>
  </si>
  <si>
    <t>Квоты на визы; ошибки в статусах сотрудников; штрафы за просрочки</t>
  </si>
  <si>
    <t>Premium Banking Account (UAE)</t>
  </si>
  <si>
    <t xml:space="preserve">Профилирование клиента:• анализ финансового профиля (активы, доходы, резидентство)• определение применимости premium / private banking• оценка требований банков по минимальным остаткам
Банковская стратегия:• подбор банков и формата обслуживания (priority / private / wealth)• выбор юрисдикции и структуры счёта (single / multi-currency)• согласование условий обслуживания и лимитов
Compliance-пакет:• расширенный KYC / source of wealth• подготовка supporting documents• предварительное согласование профиля с банком
Сопровождение открытия:• организация встреч с банком / relationship manager• сопровождение до открытия счёта• подключение digital banking и premium-сервисов
</t>
  </si>
  <si>
    <t>Fee: фиксированный (advisory + setup)+ банковские требования по остаткам</t>
  </si>
  <si>
    <t>2–6 недель</t>
  </si>
  <si>
    <t xml:space="preserve">✔ Открыт premium / private банковский счёт
✔ Выделенный relationship manager
✔ Повышенные лимиты и сервис
</t>
  </si>
  <si>
    <t xml:space="preserve">	•	гарантии открытия счёта
	•	управление активами клиента
	•	инвестиционные рекомендации (если не согласовано отдельно)
	•	обход требований банков</t>
  </si>
  <si>
    <t xml:space="preserve">	•	соответствие минимальным требованиям банков
	•	прозрачный source of wealth
	•	готовность к расширенному compliance</t>
  </si>
  <si>
    <t>Высокие требования к остаткам; расширенный source of wealth; возможные отказы</t>
  </si>
  <si>
    <t>Legal Advisory (UAE)</t>
  </si>
  <si>
    <t xml:space="preserve">Юридический анализ:• анализ правовых рисков по структуре клиента (personal / business)• review договоров, SPA, MOU, корпоративных документов• оценка применимого права и регуляторных требований
Структурирование и рекомендации:• рекомендации по юридической архитектуре (владение, управление, ответственность)• согласование решений с банковской и налоговой стратегией• предотвращение future-рисков (disputes, compliance)
Сопровождение сделок и процессов:• юридическое сопровождение сделок (недвижимость / корпоративные изменения)• взаимодействие с нотариусами, регистраторами, контрагентами• поддержка при запросах банков и регуляторов
Ongoing advisory (по необходимости):• консультации по изменениям законодательства• правовые разъяснения для менеджмента• участие в стратегических решениях
</t>
  </si>
  <si>
    <t>Fee: почасовойили пакетный / retainer+ внешние юр. расходы отдельно</t>
  </si>
  <si>
    <t>On-demand / ongoing</t>
  </si>
  <si>
    <t>✔ Юридические риски выявлены и контролируемы
✔ Решения соответствуют законодательству
✔ Структура выдерживает проверки и сделки</t>
  </si>
  <si>
    <t xml:space="preserve">	•	судебное представительство (если не согласовано отдельно)
	•	агрессивные или сомнительные схемы
	•	обход требований регуляторов
	•	управление бизнесом клиента</t>
  </si>
  <si>
    <t xml:space="preserve">	•	полное раскрытие информации клиентом
	•	своевременное принятие решений
	•	соблюдение рекомендованной юридической структуры</t>
  </si>
  <si>
    <t>Ограничения законодательства; конфликт юрисдикций; неполное раскрытие информации клиентом</t>
  </si>
  <si>
    <t>School Admission Support (UAE)</t>
  </si>
  <si>
    <t xml:space="preserve">Анализ семьи и целей:• возраст ребёнка и академический бэкграунд• долгосрочные планы семьи (страны, университеты)• бюджет и приоритеты (IB / British / American / local)
Стратегия образования:• подбор подходящих школьных систем и программ• рекомендации по районам проживания под школы• тайминг поступления и waiting lists
Сопровождение поступления:• подготовка пакета документов• координация подачи заявок в школы• организация assessments / interviews• сопровождение коммуникации со школами
Интеграция:• увязка со статусом резидентства семьи• рекомендации по жилью рядом со школой• ориентация по адаптации ребёнка
</t>
  </si>
  <si>
    <t>Fee: фиксированный (per child / per cycle)+ школьные сборы отдельно</t>
  </si>
  <si>
    <t>2–8 недель (в зависимости от школы)</t>
  </si>
  <si>
    <t xml:space="preserve">✔ Ребёнок зачислен в выбранную школу
✔ Понятный образовательный маршрут
✔ Школа встроена в семейную стратегию
</t>
  </si>
  <si>
    <t xml:space="preserve">	•	гарантии зачисления
	•	академическая подготовка ребёнка
	•	оплата школьных взносов
	•	управление образовательным процессом</t>
  </si>
  <si>
    <t xml:space="preserve">	•	своевременная подача документов
	•	соответствие требованиям школы
	•	готовность семьи к выбранной программе</t>
  </si>
  <si>
    <t>Waiting lists; отказы школ; несоответствие академического профиля</t>
  </si>
  <si>
    <t xml:space="preserve">Анализ капитала:• анализ структуры активов (cash, real estate, business, investments)• определение инвестиционного профиля и risk appetite• анализ концентраций и юрисдикционных рисков
Стратегия и архитектура:• формирование целевой структуры капитала (asset allocation)• рекомендации по диверсификации и ликвидности• интеграция с банковской, налоговой и наследственной стратегией
Портфельный контроль (oversight):• взаимодействие с банками, private bankers, asset managers• review инвестиционных предложений (second opinion)• контроль соответствия портфеля стратегии
Governance и отчётность:• регулярные portfolio reviews• consolidated reporting (high-level)• рекомендации по корректировке стратегии
Интеграция:• связка с foundation / will / family planning• координация с legal и tax advisors
</t>
  </si>
  <si>
    <t>Fee: retainer (ежеквартально / ежегодно)или advisory fee+ комиссии внешних управляющих отдельно</t>
  </si>
  <si>
    <t>Ongoing (квартальные циклы)</t>
  </si>
  <si>
    <t xml:space="preserve">✔ Контролируемая структура капитала
✔ Снижен риск ошибок и концентраций
✔ Капитал управляется в единой логике
</t>
  </si>
  <si>
    <t xml:space="preserve">	•	discretionary asset management (если нет лицензии)
	•	гарантии доходности
	•	торговые операции от имени клиента
	•	агрессивные или спекулятивные стратегии</t>
  </si>
  <si>
    <t xml:space="preserve">	•	прозрачное раскрытие активов клиентом
	•	наличие external asset managers / banks
	•	готовность клиента следовать согласованной стратегии</t>
  </si>
  <si>
    <t>Conveyancing (сопровождение сделки с недвижимостью)</t>
  </si>
  <si>
    <t xml:space="preserve">Предварительный анализ:• проверка объекта и статуса продавца / застройщика• анализ типа сделки (off-plan / secondary / developer)• проверка применимости ипотеки / финансирования
Юридический контроль:• review SPA / MOU / sale agreement• проверка условий оплаты, штрафов, сроков передачи• согласование правок с застройщиком / продавцом
Финансовая координация:• контроль графика платежей• координация с банком / ипотекой (если применимо)• проверка корректности инвойсов и платежей
Закрытие сделки:• сопровождение transfer / handover• координация с DLD / регистрационными органами• контроль получения title deed / ownership certificateИнтеграция:• увязка с визой, ипотекой, наследственной структурой• рекомендации по владению (лично / компания / foundation)
</t>
  </si>
  <si>
    <t>Fee: фиксированный за сделку+ государственные сборы отдельно</t>
  </si>
  <si>
    <t>2–6 недель (в зависимости от сделки)</t>
  </si>
  <si>
    <t>✔ Сделка юридически и финансово закрыта
✔ Права собственности корректно оформлены
✔ Риски по объекту и платежам минимизированы</t>
  </si>
  <si>
    <t>POA, tittle deed , регестрация Dewa ,ключи</t>
  </si>
  <si>
    <t xml:space="preserve">	•	брокерская деятельность
	•	гарантии доходности объекта
	•	управление недвижимостью после сделки
	•	строительный или технический due diligence</t>
  </si>
  <si>
    <t xml:space="preserve">	•	своевременное предоставление документов сторонами
	•	соблюдение согласованного графика платежей
	•	прозрачность источников средств</t>
  </si>
  <si>
    <t>Задержки transfer; ошибки в документах сторон; несвоевременные платежи</t>
  </si>
  <si>
    <t>Financial Consulting / Payments &amp; Transfers Support</t>
  </si>
  <si>
    <t>Анализ платежа:• анализ цели платежа (personal / business / investment)• проверка допустимости операции с точки зрения банков и compliance• выбор оптимального платёжного маршрута (local / international)
Структурирование и подготовка:• рекомендации по источнику средств и назначению платежа• подготовка supporting documents (contracts, invoices, explanations)• согласование структуры платежа с банком при необходимости
Сопровождение платежей:• сопровождение входящих и исходящих платежей• координация крупных и нестандартных переводов• контроль прохождения средств и статусов
Compliance и контроль:• минимизация рисков блокировок и запросов банка• ответы на запросы compliance• рекомендации по будущим операциям и лимитам</t>
  </si>
  <si>
    <t>Fee: фиксированный за кейсили почасовой / retainer+ банковские комиссии отдельно</t>
  </si>
  <si>
    <t>1–10 рабочих дней (в зависимости от операции)</t>
  </si>
  <si>
    <t xml:space="preserve">✔ Платежи проведены корректно и без блокировок
✔ Документы соответствуют требованиям банков
✔ Финансовые операции не создают future-рисков
</t>
  </si>
  <si>
    <t xml:space="preserve">	•	управление денежными средствами клиента
	•	обход банковских или AML-требований
	•	гарантии прохождения платежа при скрытых рисках</t>
  </si>
  <si>
    <t xml:space="preserve">	•	прозрачный источник средств
	•	корректные договоры и назначения платежей
	•	соблюдение рекомендованной структуры операций</t>
  </si>
  <si>
    <t>Платежи могут быть заблокированы из-за source of funds; требования банков меняются</t>
  </si>
  <si>
    <t>Custody / Asset Safekeeping &amp; Control</t>
  </si>
  <si>
    <t xml:space="preserve">Анализ структуры активов:• определение типов активов (cash, securities, shares, crypto, documents)• оценка применимых custody-моделей (bank / licensed custodian / trustee)• анализ регуляторных и юрисдикционных требований
Структурирование custody:• подбор подходящих custodians (банки, trustees, regulated providers)• определение модели владения и контроля (direct / foundation / SPV)• согласование access rules и authorization levels
Сопровождение размещения активов:• координация открытия custody-счётов• сопровождение передачи активов под custody• проверка договоров custody и условий хранения
Контроль и governance:• настройка reporting от custodians• координация с wealth management и legal advisors• рекомендации по защите доступа и преемственности
</t>
  </si>
  <si>
    <t xml:space="preserve">✔ Активы размещены у надёжных custodians
✔ Контроль доступа и владения структурирован
✔ Снижены операционные и правовые риски
</t>
  </si>
  <si>
    <t>- договор хранения денежных средств
- дальнейшая инструкция по платежу</t>
  </si>
  <si>
    <t xml:space="preserve">	- управление активами клиента
	- discretionary investment decisions</t>
  </si>
  <si>
    <t>🧩 WTP — 4 пакетных уровня</t>
  </si>
  <si>
    <t>Пакетные предложения</t>
  </si>
  <si>
    <t>Уровень 0</t>
  </si>
  <si>
    <t>Уровень 1</t>
  </si>
  <si>
    <t>Уровень 2</t>
  </si>
  <si>
    <t>Уровень 3</t>
  </si>
  <si>
    <t>Package</t>
  </si>
  <si>
    <t>Entry</t>
  </si>
  <si>
    <t>Setup</t>
  </si>
  <si>
    <t>Control</t>
  </si>
  <si>
    <t>Цель</t>
  </si>
  <si>
    <t>диагностика и стратегическое решение</t>
  </si>
  <si>
    <t>легальный и банковский вход в UAE</t>
  </si>
  <si>
    <t>запуск бизнеса / активов / сделок</t>
  </si>
  <si>
    <t>контроль, защита, долгосрочная устойчивость</t>
  </si>
  <si>
    <t>Для кого</t>
  </si>
  <si>
    <t>новый клиент / партнёрское интро / сложный кейс</t>
  </si>
  <si>
    <t>частные клиенты, инвесторы, семьи</t>
  </si>
  <si>
    <t>предприниматели, инвесторы, семьи с активами</t>
  </si>
  <si>
    <t>HNWI, family office, зрелый бизнес</t>
  </si>
  <si>
    <t>Что продаем</t>
  </si>
  <si>
    <t>ясность и правильное направление</t>
  </si>
  <si>
    <t>доступ и базовую bankability</t>
  </si>
  <si>
    <t>возможность оперировать и масштабироваться</t>
  </si>
  <si>
    <t>спокойствие и governance</t>
  </si>
  <si>
    <t>Включены продукты</t>
  </si>
  <si>
    <t xml:space="preserve">	•	Real Estate Consultant (advisory)
	•	Legal Advisory (advisory)
	•	Mortgage Consultant (advisory)
	•	Financial Consulting (payments &amp; structuring)</t>
  </si>
  <si>
    <t xml:space="preserve">	•	UAE Residency Visa (при необходимости)
	•	Personal Banking Account
	•	Tax Residency Strategy (анализ)
	•	Financial Consulting (базовый контур)</t>
  </si>
  <si>
    <t>Business &amp; Banking
	•	Company Setup &amp; License
	•	Corporate Bank Account
	•	VAT &amp; Corporate Tax Registration
Real Estate
	•	Mortgage Readiness &amp; Execution
	•	Conveyancing
Family
	•	School Admission Support</t>
  </si>
  <si>
    <t>Ongoing Operations
	•	Accounting &amp; Tax Reporting
	•	Employee Visa &amp; Company Support
	•	Financial Consulting (payments &amp; transfers)
Asset &amp; Wealth
	•	Will (UAE)
	•	Foundation / Asset Protection
	•	Custody Structuring
	•	Wealth Management / Portfolio Oversight</t>
  </si>
  <si>
    <t>✔ Понята цель клиента
✔ Выявлены риски и ограничения
✔ Сформирован roadmap
✔ Принято решение: идём в Entry / Setup или нет</t>
  </si>
  <si>
    <t>✔ Клиент легально присутствует в UAE
✔ Есть рабочий личный счёт
✔ Понятен налоговый статус
✔ Можно принимать и отправлять деньги</t>
  </si>
  <si>
    <t>✔ Компания зарегистрирована
✔ Открыты корпоративные счета
✔ Сделки и активы юридически оформлены
✔ Клиент операционно запущен</t>
  </si>
  <si>
    <t>✔ Активы защищены
✔ Компания compliant
✔ Деньги и структуры под контролем
✔ Минимизированы future-риски</t>
  </si>
  <si>
    <t>Ценовая модель</t>
  </si>
  <si>
    <t>фиксированный advisory fee</t>
  </si>
  <si>
    <t>fixed fee + direct costs</t>
  </si>
  <si>
    <t>fixed fee + milestones</t>
  </si>
  <si>
    <t>retainer / annual fee</t>
  </si>
  <si>
    <t>Следующий шаг</t>
  </si>
  <si>
    <t>Апселл → Setup</t>
  </si>
  <si>
    <t>Апселл → Control</t>
  </si>
  <si>
    <t>Максимальный LTV</t>
  </si>
  <si>
    <t xml:space="preserve">Логика </t>
  </si>
  <si>
    <t>фильтр и защита экспертизы</t>
  </si>
  <si>
    <t>доступ и trust</t>
  </si>
  <si>
    <t>execution и деньги</t>
  </si>
  <si>
    <t>платформа и LTV</t>
  </si>
  <si>
    <t>ICP</t>
  </si>
  <si>
    <t xml:space="preserve">Схема процесса </t>
  </si>
  <si>
    <t>🧭 WTP Process Map — Banking-First</t>
  </si>
  <si>
    <t>Этап</t>
  </si>
  <si>
    <t>Период</t>
  </si>
  <si>
    <t>Что происходит</t>
  </si>
  <si>
    <t>Действия WTP</t>
  </si>
  <si>
    <t>Действия клиента</t>
  </si>
  <si>
    <t>Контрольная точка</t>
  </si>
  <si>
    <t>Результат этапа</t>
  </si>
  <si>
    <t>0. Вход в процесс</t>
  </si>
  <si>
    <t>День 0</t>
  </si>
  <si>
    <t>Запрос от клиента / партнёра</t>
  </si>
  <si>
    <t>Фиксация запроса, объяснение процесса</t>
  </si>
  <si>
    <t>Краткое описание цели</t>
  </si>
  <si>
    <t>—</t>
  </si>
  <si>
    <t>Принято решение начать pre-screen</t>
  </si>
  <si>
    <t>1. Document Request &amp; Pre-Screen</t>
  </si>
  <si>
    <t>День 0–1</t>
  </si>
  <si>
    <t>Сбор и анализ документов</t>
  </si>
  <si>
    <t>Отправка document list, banking &amp; compliance pre-screen</t>
  </si>
  <si>
    <t>Передаёт документы</t>
  </si>
  <si>
    <t>GO / NO-GO</t>
  </si>
  <si>
    <t>Решение: идём дальше или advisory only</t>
  </si>
  <si>
    <t>2. Offline Analysis (Banking-First)</t>
  </si>
  <si>
    <t>День 2–7</t>
  </si>
  <si>
    <t>Анализ без участия клиента</t>
  </si>
  <si>
    <t>Banking-first анализ, выбор сценария, roadmap</t>
  </si>
  <si>
    <t>Не участвует</t>
  </si>
  <si>
    <t>Approved Scenario</t>
  </si>
  <si>
    <t>Сформирован путь клиента</t>
  </si>
  <si>
    <t>3. Package Confirmation</t>
  </si>
  <si>
    <t>День 7–10</t>
  </si>
  <si>
    <t>Подтверждение пакета</t>
  </si>
  <si>
    <t>Финализация пакета (Advisory / Entry / Setup / Control)</t>
  </si>
  <si>
    <t>Подтверждает пакет</t>
  </si>
  <si>
    <t>Package Locked</t>
  </si>
  <si>
    <t>Понятен финальный результат</t>
  </si>
  <si>
    <t>4. Travel Planning</t>
  </si>
  <si>
    <t>Подготовка визита</t>
  </si>
  <si>
    <t>Бронирование medical, biometrics, bank slots</t>
  </si>
  <si>
    <t>Планирует поездку</t>
  </si>
  <si>
    <t>Appointments Booked</t>
  </si>
  <si>
    <t>Визит готов</t>
  </si>
  <si>
    <t>5. Client Arrival (UAE)</t>
  </si>
  <si>
    <t>День 1–5 в UAE</t>
  </si>
  <si>
    <t>Физическое присутствие</t>
  </si>
  <si>
    <t>Сопровождение по процедурам</t>
  </si>
  <si>
    <t>Проходит процедуры</t>
  </si>
  <si>
    <t>Physical Steps Done</t>
  </si>
  <si>
    <t>Все обязательные шаги закрыты</t>
  </si>
  <si>
    <t>6. Client Departure</t>
  </si>
  <si>
    <t>День 3–5</t>
  </si>
  <si>
    <t>Клиент улетает</t>
  </si>
  <si>
    <t>Асинхронное продолжение</t>
  </si>
  <si>
    <t>Покидает UAE</t>
  </si>
  <si>
    <t>Клиент не ждёт результат на месте</t>
  </si>
  <si>
    <t>7. Post-Arrival Execution</t>
  </si>
  <si>
    <t>Неделя 2–4</t>
  </si>
  <si>
    <t>Завершение процессов</t>
  </si>
  <si>
    <t>Выпуск визы, ID, счетов, регистраций</t>
  </si>
  <si>
    <t>Deliverables Issued</t>
  </si>
  <si>
    <t>Финальные документы готовы</t>
  </si>
  <si>
    <t>8. Delivery by Package</t>
  </si>
  <si>
    <t>По пакету</t>
  </si>
  <si>
    <t>Исполнение услуг</t>
  </si>
  <si>
    <t>Delivery по пакету</t>
  </si>
  <si>
    <t>Package Result Achieved</t>
  </si>
  <si>
    <t>Клиент получил результат</t>
  </si>
  <si>
    <t>9. Ongoing (Control)</t>
  </si>
  <si>
    <t>Ongoing</t>
  </si>
  <si>
    <t>Сопровождение</t>
  </si>
  <si>
    <t>Accounting, compliance, wealth control</t>
  </si>
  <si>
    <t>Минимально вовлечён</t>
  </si>
  <si>
    <t>SLA / KPI</t>
  </si>
  <si>
    <t>Долгосрочная устойчивость</t>
  </si>
  <si>
    <t>🛡 WTP — Risk Policy &amp; Compliance Playbook</t>
  </si>
  <si>
    <t>1️⃣ Цель документа</t>
  </si>
  <si>
    <t>Зачем он существует:
	•	защитить клиента
	•	защитить партнёра
	•	защитить платформу
	•	обеспечить предсказуемость результата</t>
  </si>
  <si>
    <t>2️⃣ Базовые принципы (не обсуждаются)</t>
  </si>
  <si>
    <t>🔹 Banking-First
        •        все решения принимаются с учётом банковских требований
        •        если банк не примет структуру → мы её не строим
🔹 Compliance-First
        •        KYC / AML / SoF / SoW — обязательны
        •        отсутствие документов = NO-GO
🔹 Reputation-First
        •        не берём кейсы, которые:
        •        вредят партнёру
        •        вредят платформе
        •        вредят клиенту в долгую</t>
  </si>
  <si>
    <t>3️⃣ Risk Classification (классификация рисков)</t>
  </si>
  <si>
    <t>🟢 LOW RISK
	•	прозрачный источник дохода
	•	понятная цель
	•	стандартные юрисдикции
👉 идём в execution
⸻
🟡 MEDIUM RISK
	•	сложная структура дохода
	•	несколько юрисдикций
	•	HNWI / бизнес с историей
👉 Advisory → Setup с усиленным контролем
⸻
🔴 HIGH RISK
	•	неполный source of funds
	•	санкционные связи
	•	давление на сроки / “нужно срочно”</t>
  </si>
  <si>
    <t>4️⃣ GO / NO-GO контрольные точки (ключевое)</t>
  </si>
  <si>
    <t>Контрольная точка #1 — Pre-Screen
До старта любых действий
	•	документы получены
	•	базовый KYC пройден
❌ нет → STOP
⸻
Контрольная точка #2 — Scenario Approval
После offline-анализа
	•	сценарий bankable
	•	риски приняты клиентом
❌ нет → Advisory only
⸻
Контрольная точка #3 — Pre-Travel
До прилёта клиента
	•	подтверждены appointments
	•	нет открытых рисков
❌ нет → перенос визита
⸻
Контрольная точка #4 — Delivery
Перед финальной выдачей
	•	все регуляторные требования соблюдены
	•	документы корректны
❌ нет → приостановка</t>
  </si>
  <si>
    <t>5️⃣ Product-Level Risk Ownership</t>
  </si>
  <si>
    <t>Продукт</t>
  </si>
  <si>
    <t>Основные риски</t>
  </si>
  <si>
    <t>Кто принимает финальное решение</t>
  </si>
  <si>
    <t>Banking (personal / corporate)</t>
  </si>
  <si>
    <t>Отказ без объяснения причин</t>
  </si>
  <si>
    <t>Банк</t>
  </si>
  <si>
    <t>Residency / Emirates ID</t>
  </si>
  <si>
    <t>Medical / immigration отказ</t>
  </si>
  <si>
    <t>Immigration authority</t>
  </si>
  <si>
    <t>Mortgage</t>
  </si>
  <si>
    <t>Изменение политики</t>
  </si>
  <si>
    <t>Рынок / застройщик</t>
  </si>
  <si>
    <t>Tax Residency</t>
  </si>
  <si>
    <t>Внешние юрисдикции</t>
  </si>
  <si>
    <t>Налоговые органы</t>
  </si>
  <si>
    <t>Foundation / Custody</t>
  </si>
  <si>
    <t>Compliance требования</t>
  </si>
  <si>
    <t>Regulator / custodian</t>
  </si>
  <si>
    <t>6️⃣ Что мы делаем при рисках</t>
  </si>
  <si>
    <t>✔ Мы делаем
	•	предупреждаем до начала
	•	фиксируем риски письменно
	•	предлагаем альтернативные сценарии
	•	при необходимости останавливаем процесс
❌ Мы не делаем
	•	не “проталкиваем” решения
	•	не даём ложных гарантий
	•	не работаем под давлением</t>
  </si>
  <si>
    <t>7️⃣ Communication Rules</t>
  </si>
  <si>
    <t xml:space="preserve">        •        все риски объясняются простым языком
        •        партнёр всегда информирован
        •        все отклонения фиксируются письменно
Если что-то нельзя объяснить клиенту — это нельзя делать.</t>
  </si>
  <si>
    <t>🤝 WTP — Partner SLA</t>
  </si>
  <si>
    <t>Service Level Agreement / Правила взаимодействия
⸻
1️⃣ Цель SLA
Этот SLA определяет:
        •        стандарты коммуникации
        •        время реакции
        •        границы ответственности
        •        принципы защиты партнёра
Мы строим партнёрскую платформу,
а не “чат поддержки”.
⸻
2️⃣ Время реакции (Response Time)
⏱ Стандарт:
        •        20 минут — базовое время ответа партнёру
(в рабочее время)
Если ответ требует анализа:
        •        в течение 20 минут мы:
        •        подтверждаем получение запроса
        •        сообщаем, что вопрос в работе
        •        называем ориентировочный срок ответа
❌ Игнорирование запросов — недопустимо.
⸻
3️⃣ Каналы коммуникации
✔ Разрешённые:
        •        корпоративные мессенджеры
        •        email
        •        partner portal / CRM
❌ Не используем:
        •        личные аккаунты сотрудников
        •        голосовые без фиксации
        •        неформальные чаты без контекста
Всё, что влияет на клиента — фиксируется.
⸻
4️⃣ Правила общения (обязательные)
Мы:
        •        не переходим на личности
        •        не используем нецензурную лексику
        •        не давим и не манипулируем
        •        не обвиняем партнёра или клиента
Даже в конфликте:
        •        сохраняем деловой тон
        •        обсуждаем факты, а не эмоции
        •        фиксируем договорённости письменно
Уровень общения = уровень платформы.
⸻
5️⃣ Прозрачность и честность
Если услугу невозможно выполнить:
        •        мы сообщаем об этом сразу
        •        объясняем причину
        •        возвращаем деньги (за неоказанную услугу)
❌ Мы не:
        •        “тянем время”
        •        обещаем то, что не контролируем
        •        перекладываем ответственность
⸻
6️⃣ Ответы на сложные вопросы
Если:
        •        вопрос выходит за рамки текущего пакета
        •        требуется compliance / legal / banking review
Тогда:
        •        партнёр уведомляется в течение 20 минут
        •        согласуется формат: advisory / paid review / отказ
⸻
7️⃣ Что мы гарантируем партнёру (ключевое)
🛡 Защита партнёра
Мы гарантируем:
        •        ❌ отсутствие “увода” клиента
        •        ❌ отсутствие прямых контактов с клиентом без партнёра
        •        ❌ отсутствие изменения условий без согласования
✔ Мы:
        •        фиксируем, кто владеет клиентом
        •        защищаем репутацию партнёра
        •        работаем в интересах долгосрочного сотрудничества
Партнёр — это не источник лида, а часть платформы.
⸻
8️⃣ Эскалация
Если партнёр:
        •        не удовлетворён коммуникацией
        •        считает SLA нарушенным
Тогда:
        •        запрос эскалируется ответственному менеджеру
        •        рассматривается в приоритетном порядке</t>
  </si>
  <si>
    <t>🛡 WTP — Partner Protection Policy</t>
  </si>
  <si>
    <t>1️⃣ Цель документа
Данный документ фиксирует:
        •        кто владеет клиентом
        •        как защищаются интересы партнёра
        •        что считается нарушением
        •        какие действия запрещены
Партнёр — это владелец отношений.
Платформа — исполнитель и оператор.
⸻
2️⃣ Владение клиентом (Client Ownership)
📌 Основной принцип
Клиент принадлежит партнёру, который его привёл.
Это означает:
        •        партнёр владеет отношениями
        •        партнёр остаётся контактным лицом
        •        партнёр получает все согласованные вознаграждения
Фиксация владения:
        •        клиент регистрируется в системе с указанием партнёра
        •        ownership фиксируется в CRM / partner portal
        •        изменение ownership возможно только по письменному согласию партнёра
⸻
3️⃣ Запрет “увода” клиента (Non-Circumvention)
❌ Категорически запрещено:
        •        выходить на прямой контакт с клиентом без партнёра
        •        предлагать клиенту услуги напрямую, минуя партнёра
        •        изменять условия работы без уведомления партнёра
        •        использовать данные клиента в интересах третьих лиц
Даже если клиент сам инициирует контакт — партнёр остаётся в контуре.
⸻
4️⃣ Коммуникационные правила
✔ Разрешено:
        •        общение с клиентом в присутствии партнёра
        •        общение по согласованным каналам
        •        рабочие чаты, где партнёр включён
❌ Запрещено:
        •        личные переписки
        •        “параллельные” звонки
        •        незафиксированные договорённости
⸻
5️⃣ Срок действия защиты
⏳ Partner Protection действует:
        •        на весь срок работы с клиентом
        •        и 12–24 месяца после последней активности (точный срок фиксируется договором)
⸻
6️⃣ Исключения (чётко ограничены)
Изменение ownership возможно только если:
        •        партнёр письменно отказался от клиента
        •        партнёр не отвечает / не участвует (после формальной эскалации)
        •        есть обоюдное письменное согласие сторон
❌ Устные договорённости не принимаются.
⸻
7️⃣ Ответственность за нарушение
Нарушение Partner Protection считается грубым нарушением и может повлечь:
        •        выплату партнёру всех комиссий
        •        штрафы / компенсации
        •        немедленное прекращение сотрудничества
⸻
8️⃣ Что платформа гарантирует партнёру
🛡 Мы гарантируем:
        •        защиту репутации партнёра
        •        прозрачность условий
        •        фиксацию ownership
        •        отсутствие конфликта интересов
Мы зарабатываем только вместе с партнёром, а не вместо него.</t>
  </si>
  <si>
    <t>🤝 WTP — Два режима партнёрства</t>
  </si>
  <si>
    <t>(Process Description)</t>
  </si>
  <si>
    <t>🟦 РЕЖИМ 1. Referral (Intro Model)</t>
  </si>
  <si>
    <t>📌 Суть</t>
  </si>
  <si>
    <t>Партнёр знакомит с клиентом.</t>
  </si>
  <si>
    <t>WTP ведёт кейс end-to-end.</t>
  </si>
  <si>
    <t>Партнёр защищён правилами владения клиентом и получает комиссию.</t>
  </si>
  <si>
    <t>🧭 Процесс (шаги)</t>
  </si>
  <si>
    <t>1. Интро</t>
  </si>
  <si>
    <t>партнёр делает официальное знакомство (telegram chat / CRM / portal)</t>
  </si>
  <si>
    <t>клиент фиксируется за партнёром (ownership)</t>
  </si>
  <si>
    <t>2. Pre-screen</t>
  </si>
  <si>
    <t>WTP запрашивает документы</t>
  </si>
  <si>
    <t>проводит banking / compliance анализ</t>
  </si>
  <si>
    <t>решение GO / NO-GO</t>
  </si>
  <si>
    <t>3. Подтверждение scope</t>
  </si>
  <si>
    <t>согласуется пакет (Advisory / Entry / Setup / Control)</t>
  </si>
  <si>
    <t>партнёр уведомлён о составе услуг и комиссии</t>
  </si>
  <si>
    <t>4. Договор и оплата</t>
  </si>
  <si>
    <t>договор между WTP и клиентом</t>
  </si>
  <si>
    <t>клиент оплачивает WTP напрямую</t>
  </si>
  <si>
    <t>комиссия партнёра зафиксирована</t>
  </si>
  <si>
    <t>5. Delivery/ сопровождение сделки</t>
  </si>
  <si>
    <t>WTP ведёт кейс</t>
  </si>
  <si>
    <t>партнёр получает регулярные статусы</t>
  </si>
  <si>
    <t>клиент общается напрямую с WTP</t>
  </si>
  <si>
    <t>6. Завершение и расчёт</t>
  </si>
  <si>
    <t>услуги выполнены</t>
  </si>
  <si>
    <t>партнёру выплачивается комиссия</t>
  </si>
  <si>
    <t>клиент остаётся закреплён за партнёром</t>
  </si>
  <si>
    <t>🛡 Гарантии партнёру</t>
  </si>
  <si>
    <t>запрет обхода партнёра</t>
  </si>
  <si>
    <t>защита ownership</t>
  </si>
  <si>
    <t>прозрачный расчёт комиссии</t>
  </si>
  <si>
    <t>отсутствие прямых апселлов без уведомления</t>
  </si>
  <si>
    <t>✔ Когда использовать</t>
  </si>
  <si>
    <t>активные интро</t>
  </si>
  <si>
    <t>HNWI клиенты</t>
  </si>
  <si>
    <t>масштабирование партнёрской сети</t>
  </si>
  <si>
    <t>🟦 РЕЖИМ 2. White-Label (Back-Office Model)</t>
  </si>
  <si>
    <t>Партнёр — лицо перед клиентом.</t>
  </si>
  <si>
    <t>WTP — локальный back-office и исполнитель.</t>
  </si>
  <si>
    <t>Клиент может не знать о WTP.</t>
  </si>
  <si>
    <t>1. Передача кейса</t>
  </si>
  <si>
    <t>партнёр передаёт клиента в работу</t>
  </si>
  <si>
    <t>определяется scope и формат white-label</t>
  </si>
  <si>
    <t>WTP проводит анализ</t>
  </si>
  <si>
    <t>результаты передаются партнёру</t>
  </si>
  <si>
    <t>партнёр согласует с клиентом</t>
  </si>
  <si>
    <t>3. Договор</t>
  </si>
  <si>
    <t>возможны варианты:</t>
  </si>
  <si>
    <t>договор партнёр ↔ клиент</t>
  </si>
  <si>
    <t>договор партнёр ↔ WTP</t>
  </si>
  <si>
    <t>WTP действует как subcontractor</t>
  </si>
  <si>
    <t>4. Оплата</t>
  </si>
  <si>
    <t>клиент платит партнёру</t>
  </si>
  <si>
    <t>партнёр оплачивает WTP по agreed fee</t>
  </si>
  <si>
    <t>5. Delivery</t>
  </si>
  <si>
    <t>WTP исполняет услуги</t>
  </si>
  <si>
    <t>вся коммуникация через партнёра</t>
  </si>
  <si>
    <t>соблюдается SLA</t>
  </si>
  <si>
    <t>6. Завершение</t>
  </si>
  <si>
    <t>услуги закрыты</t>
  </si>
  <si>
    <t>отчёт партнёру</t>
  </si>
  <si>
    <t>клиент остаётся за партнёром</t>
  </si>
  <si>
    <t>полная конфиденциальность</t>
  </si>
  <si>
    <t>non-circumvention</t>
  </si>
  <si>
    <t>соблюдение стандартов качества</t>
  </si>
  <si>
    <t>защита бренда партнёра</t>
  </si>
  <si>
    <t>private bankers</t>
  </si>
  <si>
    <t>family offices</t>
  </si>
  <si>
    <t>consultants с сильным брендом</t>
  </si>
  <si>
    <t>🔑 Общие правила (для обоих режимов)</t>
  </si>
  <si>
    <t>ownership клиента фиксируется</t>
  </si>
  <si>
    <t>scope услуг фиксируется до старта</t>
  </si>
  <si>
    <t>без scope — нет обещаний</t>
  </si>
  <si>
    <t>все изменения — письменно</t>
  </si>
  <si>
    <t>compliance &gt; скорость</t>
  </si>
  <si>
    <t>🎯 Результат для партнёра</t>
  </si>
  <si>
    <t>понятная модель работы</t>
  </si>
  <si>
    <t>защита клиента</t>
  </si>
  <si>
    <t>предсказуемый доход</t>
  </si>
  <si>
    <t>отсутствие операционного стресса</t>
  </si>
  <si>
    <t>Санкционный трек</t>
  </si>
  <si>
    <t>Принципиальная позиция WTP</t>
  </si>
  <si>
    <t>Мы не работаем с обходом ограничений.
Мы работаем с оценкой риска и законным маршрутом.
Если законного маршрута нет — мы отказываем.
Это нужно зафиксировать:
письменно, в продукте, в обучении, в скриптах.</t>
  </si>
  <si>
    <t>1.1. Встраивание в intake</t>
  </si>
  <si>
    <t>2.1. Политика коммуникаций (1 документ)</t>
  </si>
  <si>
    <t>Блок А — Персоны</t>
  </si>
  <si>
    <t>Прямые запреты:</t>
  </si>
  <si>
    <t>- Гражданства (все, включая вторые)
- Резидентства (текущие и прошлые 5 лет)
- Наличие санкционных юрисдикций в истории
- Публичность (PEP / политическая экспозиция)
- Бенефициары (структура владения)</t>
  </si>
  <si>
    <t>Нельзя говорить/писать:
• “Обойдём”
• “Решим без вопросов”
• “У нас есть человек в банке”
• “Это никто не проверяет”
• “Так все делают”
• “Можно скрыть”
• “Мы гарантируем счёт при любых условиях”</t>
  </si>
  <si>
    <t>Блок B — Бизнес</t>
  </si>
  <si>
    <t>2.2. Шаблон ответа на “серый запрос”</t>
  </si>
  <si>
    <t>- Отрасль
- Страны деятельности
- Ключевые контрагенты
- Источник средств (SoF / SoW)
- Ожидаемые транзакции (география)</t>
  </si>
  <si>
    <t>Запросы:
“Можно сделать так, чтобы банк не задавал лишних вопросов?”
“Можно сделать без документов (выписки банков, SoF и др.)?”
“Есть ли способ обойти ограничения?”
“Давайте сделаем структуру, чтобы не светиться.”
“Можно сделать так, чтобы не было видно связи?”
“Можно немного изменить описание бизнеса?”
“Укажем другую страну происхождения средств.”
 “Покажем старый договор вместо нового.”
 “Можно сделать договор задним числом?”
“Есть ли банк, который не проверяет?”</t>
  </si>
  <si>
    <t>1.2. Двухуровневая модель проверки</t>
  </si>
  <si>
    <t>Ответ WTP:</t>
  </si>
  <si>
    <t>Уровень 1 — Быстрый скрининг</t>
  </si>
  <si>
    <t>Кто делает: назначенный compliance coordinator (Оля/Банкир)
- Проверка совпадений по спискам
- Проверка негативных упоминаний
- Проверка PEP-статуса
- Проверка стран риска</t>
  </si>
  <si>
    <t>Мы не работаем с обходом ограничений.
Мы работаем с оценкой риска и законным маршрутом.
Если маршрут реалистичен — мы его выстроим.
Если нет — мы честно скажем об этом до запуска процесса.
Мы строим Компанию, которая способна сказать “нет”
и от этого становится дороже.</t>
  </si>
  <si>
    <t>Результат:</t>
  </si>
  <si>
    <t>🟢 Нет совпадений
🟡 Потенциальные совпадения
🔴 Прямые совпадения / красные флаги</t>
  </si>
  <si>
    <t>Уровень 2 — Углублённая проверка (если 🟡/🔴)</t>
  </si>
  <si>
    <t>2.3. Правило трёх “Нельзя”</t>
  </si>
  <si>
    <t>Кто делает: senior / руководитель направления
• Уточнение структуры
• Документы по SoF
• Анализ транзакционной логики
• Доп. вопросы по контрагентам
• Санкционный контур банка</t>
  </si>
  <si>
    <t>1. Нельзя обещать невозможное
2. Нельзя умалять риск
3. Нельзя импровизировать в серой зоне</t>
  </si>
  <si>
    <t>1.3. Фиксация результатов</t>
  </si>
  <si>
    <t>Внутренний регистр:</t>
  </si>
  <si>
    <t>| Клиент | Дата | Уровень | Результат | Кто проверил | Кто утвердил | Комментарий |</t>
  </si>
  <si>
    <t>Хранение: Закрытая папка
Доступ: Только руководитель + compliance</t>
  </si>
  <si>
    <t>1.4. Санкционный чек-лист</t>
  </si>
  <si>
    <t>- Гражданства проверены
- Резидентства проверены
- PEP-статус
- Бенефициары раскрыты
- Отрасль не high-risk (если High-Risk, то с комментариями)
- География транзакций понятна
- Source of funds подтверждаем
- Нет прямых совпадений в санкционных списках</t>
  </si>
  <si>
    <t>1.5. Шаблон “Sanctions Risk Note”</t>
  </si>
  <si>
    <t>1. Клиент / дата
2. Краткое описание кейса
3. Результат скрининга (Green/Yellow/Red)
4. Выявленные факторы риска
5. Условия допустимости (если Yellow)
6. Вывод:
- В работу
- В работу с дополнительными условиями
- Отказ
7. Подпись проверяющего
8. Подпись утверждающего</t>
  </si>
  <si>
    <t>⸻</t>
  </si>
  <si>
    <t>🎓 4. Обучение команды (Day 5–6)</t>
  </si>
  <si>
    <t>Формат: 60 минут</t>
  </si>
  <si>
    <t>Блок 1 (15 мин)</t>
  </si>
  <si>
    <t>Почему санкционный трек = конкурентное преимущество</t>
  </si>
  <si>
    <t>Блок 2 (20 мин)</t>
  </si>
  <si>
    <t>Разбор чек-листа + risk note</t>
  </si>
  <si>
    <t>Блок 3 (15 мин)</t>
  </si>
  <si>
    <t>Разбор 5–10 реальных диалогов</t>
  </si>
  <si>
    <t>• Найти опасные формулировки</t>
  </si>
  <si>
    <t>• Переписать корректно</t>
  </si>
  <si>
    <t>• Отработать вслух</t>
  </si>
  <si>
    <t>Блок 4 (10 мин)</t>
  </si>
  <si>
    <t>Q&amp;A</t>
  </si>
  <si>
    <t>🎯 5. Критерий готовности недели (Day 7)</t>
  </si>
  <si>
    <t>✔ Есть санкционный чек-лист</t>
  </si>
  <si>
    <t>✔ Есть шаблон risk note</t>
  </si>
  <si>
    <t>✔ Есть регистр проверок</t>
  </si>
  <si>
    <t>✔ Есть документ “Что не делаем”</t>
  </si>
  <si>
    <t>✔ Скрипты обновлены</t>
  </si>
  <si>
    <t>✔ Команда прошла обучение</t>
  </si>
  <si>
    <t>✔ 3 кейса протестированы по новой модели</t>
  </si>
  <si>
    <t>🧠 Почему это стратегически важно</t>
  </si>
  <si>
    <t>Ты писал раньше, что тебя много раз обманывали и небрежно обращались с деньгами.</t>
  </si>
  <si>
    <t>Вот это — противоположная модель.</t>
  </si>
  <si>
    <t>Ты строишь:</t>
  </si>
  <si>
    <t>Компанию, которая способна сказать “нет”</t>
  </si>
  <si>
    <t>и от этого становится дороже.</t>
  </si>
  <si>
    <t>И именно это открывает двери к:</t>
  </si>
  <si>
    <t>• юристам</t>
  </si>
  <si>
    <t>• family offices</t>
  </si>
  <si>
    <t>• европейским партнёрам</t>
  </si>
  <si>
    <t>• premium-клиентам</t>
  </si>
  <si>
    <r>
      <rPr>
        <rFont val="Arial"/>
        <b/>
        <color theme="1"/>
        <sz val="13.0"/>
      </rPr>
      <t xml:space="preserve">KYC LIGHT — ВХОДНАЯ КВАЛИФИКАЦИЯ КЛИЕНТА
</t>
    </r>
    <r>
      <rPr>
        <rFont val="Arial"/>
        <color theme="1"/>
      </rPr>
      <t xml:space="preserve">
(до начала оформления любых услуг)
1. Цель и контекст
1.1. Какая основная цель обращения?
(можно выбрать несколько)
        •        ☐ Резиденция / виза
        •        ☐ Банковский счёт (личный / корпоративный)
        •        ☐ Компания / бизнес
        •        ☐ Недвижимость (жизнь / инвестиции)
        •        ☐ Налоги / структура
        •        ☐ Семья / школа
        •        ☐ Другое (описать)
1.2. Срочность
        •        ☐ Стандарт (1–3 месяца)
        •        ☐ Ускоренно
        •        ☐ Критично по срокам (описать дедлайн)
⸻
2. Персональный профиль (ключевой банковский блок)
2.1. Гражданство (все, если несколько)
2.2. Страна текущего налогового резидентства
2.3. Планируете ли менять налоговое резидентство?
        •        ☐ Да → на какую страну
        •        ☐ Нет
        •        ☐ Не уверен(а)
2.4. Были ли у вас ранее:
        •        ☐ Отказы банков
        •        ☐ Закрытия счетов
        •        ☐ Повышенный комплаенс / EDD
(если да — кратко описать)
⸻
3. Источник средств (самый важный блок)
3.1. Основной источник капитала
        •        ☐ Бизнес
        •        ☐ Зарплата / контракт
        •        ☐ Продажа активов
        •        ☐ Инвестиции
        •        ☐ Наследство
        •        ☐ Другое
3.2. Есть ли документы, подтверждающие источник средств?
        •        ☐ Да
        •        ☐ Частично
        •        ☐ Нет (⚠️ риск)
3.3. Примерный объём средств, с которыми планируете работать
        •        ☐ до $100k
        •        ☐ $100k–500k
        •        ☐ $500k–1M
        •        ☐ $1M+
⸻
4. Платежи и банковский профиль
4.1. Тип планируемых операций
        •        ☐ Личные расходы
        •        ☐ Инвестиции
        •        ☐ Бизнес-платежи
        •        ☐ Недвижимость
        •        ☐ Международные переводы
4.2. География платежей
        •        Страны отправления
        •        Страны получения
4.3. Планируемый оборот (в месяц)
        •        ☐ до $50k
        •        ☐ $50k–250k
        •        ☐ $250k–1M
        •        ☐ $1M+
⸻
5. Бизнес (если применимо)
5.1. Есть ли действующий бизнес?
        •        ☐ Да
        •        ☐ Нет (планируется)
5.2. Сфера деятельности
(отметить, если есть чувствительные зоны)
        •        ☐ Крипто / финтех
        •        ☐ Форекс / трейдинг
        •        ☐ Оборонка / dual-use
        •        ☐ Gambling
        •        ☐ Cash-intensive бизнес
        •        ☐ Стандартные услуги / торговля
5.3. Клиенты и контрагенты
        •        Страны клиентов
        •        Страны поставщиков
⸻
6. Недвижимость / инвестиции (если применимо)
6.1. Цель недвижимости
        •        ☐ Для жизни
        •        ☐ Инвестиции
        •        ☐ Виза / резидентство
6.2. Источник средств на покупку
        •        ☐ Собственные
        •        ☐ Ипотека
        •        ☐ Смешанный
⸻
7. Комплаенс и репутация
7.1. Являетесь ли вы PEP (политически значимое лицо)?
        •        ☐ Да
        •        ☐ Нет
7.2. Есть ли судебные, санкционные или регуляторные вопросы?
        •        ☐ Да (описать)
        •        ☐ Нет
⸻
8. Ожидания от нас
8.1. Что для вас критично?
        •        ☐ Скорость
        •        ☐ Надёжность
        •        ☐ Банковская проходимость
        •        ☐ Конфиденциальность
        •        ☐ Цена
⸻</t>
    </r>
  </si>
  <si>
    <r>
      <rPr>
        <rFont val="Arial"/>
        <color theme="1"/>
      </rPr>
      <t xml:space="preserve">📎 </t>
    </r>
    <r>
      <rPr>
        <rFont val="Arial"/>
        <b/>
        <color theme="1"/>
        <sz val="14.0"/>
      </rPr>
      <t>ОБЯЗАТЕЛЬНЫЕ ДОКУМЕНТЫ НА СТАРТ (KYC LIGHT)</t>
    </r>
    <r>
      <rPr>
        <rFont val="Arial"/>
        <color theme="1"/>
      </rPr>
      <t xml:space="preserve">
Для физического лица
        1.        Паспорт (все страницы с визами)
        2.        Подтверждение адреса проживания
        •        Utility bill / bank statement (≤ 3 мес)
        3.        CV / краткое описание деятельности
        4.        Подтверждение источника средств
        •        контракты / дивиденды / отчёты / sale agreements
⸻
Для бизнеса (если есть / планируется)
        5.        Краткое описание бизнеса (1 страница)
        6.        Структура владения (Ubo chart)
        7.        Регистрационные документы (если компания уже есть)
        8.        Контракты с ключевыми клиентами / поставщиками (если есть)"</t>
    </r>
  </si>
  <si>
    <r>
      <rPr>
        <rFont val="Arial"/>
        <b/>
        <color theme="1"/>
        <sz val="10.0"/>
      </rPr>
      <t>Разбивка KYC Light / Qualification по каждой услуге</t>
    </r>
    <r>
      <rPr>
        <rFont val="Arial"/>
        <color theme="1"/>
        <sz val="10.0"/>
      </rPr>
      <t xml:space="preserve">
1️⃣ Advisory (Level 0) — консультационные услуги
1.1 Real Estate Consultant (Advisory)
Цель: понять, реалистичен ли кейс и нет ли будущих проблем с банком / визой / налогами.
Дополнительные вопросы:
        1.        Для чего рассматривается недвижимость?
        •        ☐ жизнь
        •        ☐ инвестиции
        •        ☐ виза
        2.        Планируемый бюджет (диапазон)
        3.        Источник средств на покупку
        4.        Нужна ли ипотека?
        5.        Где сейчас налоговое резидентство?
        6.        Есть ли опыт владения недвижимостью за рубежом?
        7.        Важна ли ликвидность / перепродажа?
Red flags:
        •        нет подтверждения средств
        •        ожидание «анонимной» покупки
        •        несоответствие бюджета и цели (например, Golden Visa)
⸻
1.2 Legal Advisory
Цель: оценить юридические и комплаенс-риски до структуры.
Вопросы:
        1.        В какой стране сейчас основные активы?
        2.        Есть ли текущие или прошлые споры / суды?
        3.        Есть ли несколько гражданств / резиденций?
        4.        Есть ли бизнес в высокорисковых юрисдикциях?
        5.        Планируется ли передача активов семье / наследникам?
⸻
1.3 Mortgage Consultant (Advisory)
Цель: понять, имеет ли смысл идти в ипотеку вообще.
Вопросы:
        1.        Есть ли подтверждённый доход?
        2.        В какой валюте доход?
        3.        Есть ли банковская история за пределами РФ?
        4.        Готовность к первоначальному взносу (%)
        5.        Есть ли действующие кредиты?
        6.        Статус резиденции UAE (есть / планируется)
⸻
1.4 Financial Consulting (Advisory)
Цель: предсказать банковские сложности.
Вопросы:
        1.        Какие банки использовались за последние 2 года?
        2.        Были ли блокировки / запросы комплаенса?
        3.        Основные страны платежей
        4.        Типы платежей (инвестиции, услуги, товары)
        5.        Частота и объём операций
⸻
2️⃣ Residency &amp; Visa
2.1 UAE Residency Visa
Вопросы:
        1.        Основание визы:
        •        ☐ компания
        •        ☐ недвижимость
        •        ☐ инвестор
        2.        Были ли отказы в визах ранее?
        3.        Семейные визы нужны?
        4.        Планируете ли налоговое резидентство UAE?
        5.        Когда последний въезд/выезд из UAE?
Документы доп.:
        •        фото
        •        предыдущие визы UAE (если были)
⸻
2.2 Emirates ID
Что НЕ входит (важно для ожиданий):
        •        ❌ налоговое резидентство
        •        ❌ банковский счёт
        •        ❌ автоматическая Golden Visa
Вопросы:
        1.        Есть ли уже entry permit?
        2.        Срок пребывания в UAE сейчас
        3.        Срочность получения
⸻
3️⃣ Tax Residency Strategy
Цель: избежать проблем с налоговыми органами и банками.
Вопросы:
        1.        Где проводите &gt;183 дней?
        2.        Есть ли центр жизненных интересов в другой стране?
        3.        Где основной доход?
        4.        Есть ли налоговые уведомления / проверки?
        5.        Планируете ли получать TRC (Tax Residency Certificate)?
⸻
4️⃣ Banking
4.1 Personal Banking Account
Вопросы:
        1.        Для чего нужен счёт?
        2.        Ожидаемый оборот
        3.        География поступлений
        4.        Основной источник дохода
        5.        Были ли отказы банков?
Red flags:
        •        «просто нужен счёт»
        •        нет подтверждения доходов
⸻
4.2 Premium / Private Banking
Дополнительно:
        1.        Объём активов под управлением
        2.        Готовность к KYC Enhanced
        3.        Интерес к инвестиционным продуктам
        4.        Готовность к минимальным остаткам
⸻
4.3 Corporate Bank Account
Вопросы:
        1.        Где зарегистрирована компания?
        2.        Реальная деятельность или холдинг?
        3.        Клиенты / поставщики (страны)
        4.        Планируемый оборот
        5.        Есть ли substance (офис / персонал)?
⸻
5️⃣ Company Setup &amp; License
Вопросы:
        1.        Цель компании:
        •        ☐ операционная
        •        ☐ холдинговая
        •        ☐ инвестиционная
        2.        Планируемая деятельность
        3.        Нужны ли визы сотрудникам?
        4.        Будет ли реальный офис?
        5.        Ожидаемые обороты
⸻
6️⃣ Accounting &amp; Tax
Вопросы:
        1.        Обороты &gt;375,000 AED?
        2.        Международные операции?
        3.        Количество транзакций в месяц
        4.        Наличие VAT / CT обязательств
        5.        Используемые банки
⸻
7️⃣ Real Estate (Execution)
Вопросы:
        1.        Off-plan или secondary?
        2.        Нужна ли ипотека?
        3.        Для жизни или инвестиций?
        4.        Планируемый срок владения
        5.        Нужен ли conveyancing + will?
⸻
8️⃣ Conveyancing
Вопросы:
        1.        Тип сделки
        2.        Источник средств
        3.        Наличие финансирования
        4.        Используемый банк
        5.        Гражданство покупателя
⸻
9️⃣ School Admission Support
Вопросы:
        1.        Возраст ребёнка
        2.        Язык обучения
        3.        Сроки зачисления
        4.        Наличие визы у родителей
        5.        Предыдущая школа
⸻
🔟 UAE Will
Вопросы:
        1.        Активы в UAE
        2.        Семейное положение
        3.        Наследники
        4.        Гражданство
        5.        Есть ли existing will в другой стране?
⸻
1️⃣1️⃣ Foundation / Asset Protection
Вопросы:
        1.        Цель структуры (наследство / защита / налог)
        2.        Объём активов
        3.        Юрисдикции активов
        4.        Наличие наследников
        5.        PEP / санкционные риски
⸻
1️⃣2️⃣ Wealth Management / Custody
Вопросы:
        1.        Размер портфеля
        2.        Горизонт инвестирования
        3.        Риск-профиль
        4.        Страны активов
        5.        Нужна ли независимая custody?</t>
    </r>
  </si>
  <si>
    <t>🔴 RED FLAGS MATRIX — UAE BANKING
1️⃣ Источник средств (Source of Funds)
❌ Red flag
        •        Нет документального подтверждения доходов
        •        Доходы «налом», p2p, без контрактов
        •        Криптодоход без истории и отчётов
⚠️ Почему это проблема
Банки UAE:
        •        не принимают «объяснения на словах»
        •        требуют трассируемость за 12–36 месяцев
        •        особенно жёстки к РФ/СНГ источникам
✅ Что делаем мы
        •        pre-screen документов до подачи
        •        собираем narrative (история происхождения средств)
        •        иногда меняем банк или тип счёта
⛔ Когда отказываем
        •        нет ни одного подтверждающего документа
        •        клиент не готов раскрывать источник
⸻
2️⃣ География доходов и платежей
❌ Red flag
        •        Платежи из санкционных стран
        •        Клиенты/поставщики в high-risk юрисдикциях
        •        Много стран без логики
⚠️ Почему проблема
UAE банки:
        •        оценивают геопрофиль
        •        боятся secondary sanctions
✅ Что делаем
        •        структурируем потоки
        •        предлагаем banking routing
        •        иногда → другой банк / другая лицензия
⛔ Отказываем
        •        прямые санкционные контрагенты
        •        попытка «обойти» комплаенс
⸻
3️⃣ История отказов банков
❌ Red flag
        •        Был отказ, клиент не знает почему
        •        Было закрытие счёта
        •        «Мне просто сказали — no»
⚠️ Почему проблема
Банки обмениваются информацией
Отказ = повышенный риск повторного отказа
✅ Что делаем
        •        выясняем реальную причину
        •        меняем стратегию подачи
        •        иногда ждём 3–6 месяцев
⛔ Отказываем
        •        клиент скрывает отказы
        •        подаёт параллельно в несколько банков
⸻
4️⃣ Тип деятельности (Business Risk)
❌ Red flag
        •        Crypto services / brokers / OTC
        •        FX, payments, посредничество
        •        Marketing без substance
⚠️ Почему проблема
UAE банки:
        •        делят бизнесы на low / medium / high risk
        •        high-risk → только ограниченный пул банков
✅ Что делаем
        •        меняем лицензию
        •        делаем clean activity description
        •        иногда → EMI вместо банка
⛔ Отказываем
        •        «на бумаге одно — по факту другое»
⸻
5️⃣ Отсутствие substance (для компаний)
❌ Red flag
        •        Нет офиса
        •        Нет сотрудников
        •        Нет контрактов
⚠️ Почему проблема
Corporate accounts без substance = 🚩
Особенно после 2023 года
✅ Что делаем
        •        real presence (Level 3 пакеты)
        •        временный office / staff / contracts
⛔ Отказываем
        •        клиент принципиально не хочет substance
⸻
6️⃣ Структура владения
❌ Red flag
        •        Много уровней
        •        Offshore без причины
        •        Nominee без объяснения
⚠️ Почему проблема
Банки требуют:
        •        UBO transparency
        •        простые структуры
✅ Что делаем
        •        упрощаем
        •        делаем ownership map
        •        объясняем экономический смысл
⛔ Отказываем
        •        попытка скрыть бенефициара
⸻
7️⃣ Налоговая позиция
❌ Red flag
        •        «Я нигде не резидент»
        •        Конфликт резидентств
        •        Нет TRC при заявленных планах
⚠️ Почему проблема
Банки смотрят:
        •        consistency (виза ↔ банк ↔ налоги)
✅ Что делаем
        •        tax residency strategy
        •        иногда не обещаем TRC
⛔ Отказываем
        •        клиент хочет «нулевые налоги без последствий»
⸻
8️⃣ Поведение клиента (soft red flags)
❌ Red flag
        •        Давит по срокам
        •        Просит «обойти»
        •        Не отвечает вовремя
⚠️ Почему проблема
Комплаенс = trust-based
Поведение = часть оценки
✅ Что делаем
        •        ставим ожидания
        •        иногда берём паузу
⛔ Отказываем
        •        агрессия, манипуляции, неуважение</t>
  </si>
  <si>
    <r>
      <rPr>
        <rFont val="Arial"/>
        <b/>
        <color theme="1"/>
      </rPr>
      <t>📝 GOOGLE FORM — WTP | KYC Light &amp; Case Qualification</t>
    </r>
    <r>
      <rPr>
        <rFont val="Arial"/>
        <color theme="1"/>
      </rPr>
      <t xml:space="preserve">
🔹 Название формы
WTP | Initial Qualification &amp; KYC Light
Описание:
Эта анкета необходима для предварительной оценки кейса, банковской и налоговой совместимости.
Заполнение не означает автоматическое принятие кейса.
⸻
🧩 SECTION 1. Общая информация
1. Кто вы?
(Short answer)
        •        Имя, фамилия
2. Кто подаёт кейс?
(Multiple choice)
        •        ☐ Клиент напрямую
        •        ☐ Партнёр (referral)
        •        ☐ Партнёр (white-label)
👉 Если «Партнёр» → показать доп. поле
2.1 Имя партнёра / компания партнёра
(Short answer)
3. Email / WhatsApp
(Short answer)
4. Гражданство (все)
(Short answer)
⸻
🧩 SECTION 2. Выбранные услуги
(Checkboxes — можно выбрать несколько)
        •        ☐ UAE Residency Visa
        •        ☐ Personal Banking Account
        •        ☐ Premium / Private Banking
        •        ☐ Company Setup &amp; License
        •        ☐ Corporate Bank Account
        •        ☐ Tax Residency Strategy
        •        ☐ Real Estate (Advisory / Execution)
        •        ☐ Mortgage
        •        ☐ Accounting / VAT / Corporate Tax
        •        ☐ UAE Will
        •        ☐ Foundation / Asset Protection
        •        ☐ School Admission
        •        ☐ Wealth Management / Custody
👉 Далее условная логика: показывать релевантные блоки
⸻
🧩 SECTION 3. CORE KYC LIGHT (обязателен для всех)
5. Текущее налоговое резидентство
(Short answer)
6. Планируете ли менять налоговое резидентство?
(Multiple choice)
        •        ☐ Да
        •        ☐ Нет
        •        ☐ Не знаю
7. Основной источник средств
(Paragraph)
зарплата / дивиденды / бизнес / инвестиции / другое
8. Есть ли подтверждающие документы?
(Multiple choice)
        •        ☐ Да
        •        ☐ Частично
        •        ☐ Нет
9. Примерный объём средств / оборотов (USD)
(Multiple choice)
        •        ☐ до 50k
        •        ☐ 50–200k
        •        ☐ 200–500k
        •        ☐ 500k+
10. География клиентов / доходов
(Checkboxes)
        •        ☐ UAE
        •        ☐ EU
        •        ☐ UK
        •        ☐ USA
        •        ☐ СНГ
        •        ☐ Другое
11. Были ли отказы банков?
(Multiple choice)
        •        ☐ Нет
        •        ☐ Да, объяснили причину
        •        ☐ Да, без объяснения
👉 Если «Да» → показать поле
11.1 В каком банке и когда? Что сказали?
(Paragraph)
⸻
🧩 SECTION 4. Sensitive / Risk Check
12. Отрасли, с которыми вы связаны
(Checkboxes)
        •        ☐ IT / SaaS
        •        ☐ Консалтинг
        •        ☐ Торговля
        •        ☐ Инвестиции
        •        ☐ Crypto / Web3
        •        ☐ FX / Payments
        •        ☐ Маркетинг
        •        ☐ Другое
13. Есть ли санкционные / high-risk страны в операциях?
(Multiple choice)
        •        ☐ Нет
        •        ☐ Возможно
        •        ☐ Да
14. Были ли блокировки счетов за последние 2 года?
(Multiple choice)
        •        ☐ Нет
        •        ☐ Да
⸻
🧩 SECTION 5. Banking-first questions
(показывается, если выбраны banking / company / tax)
15. Для чего нужен банковский счёт?
(Paragraph)
16. Ожидаемое количество транзакций в месяц
(Multiple choice)
        •        ☐ до 10
        •        ☐ 10–50
        •        ☐ 50+
17. Средний размер транзакции (USD)
(Short answer)
⸻
🧩 SECTION 6. Company (если выбрано)
18. Планируемая деятельность компании
(Paragraph)
19. Будут ли сотрудники в UAE?
(Multiple choice)
        •        ☐ Да
        •        ☐ Нет
        •        ☐ Позже
20. Будет ли реальный офис / substance?
(Multiple choice)
        •        ☐ Да
        •        ☐ Минимальный
        •        ☐ Нет
⸻
🧩 SECTION 7. Real Estate / Mortgage (если выбрано)
21. Цель недвижимости
(Multiple choice)
        •        ☐ Жизнь
        •        ☐ Инвестиции
        •        ☐ Golden Visa
22. Планируемый бюджет (USD)
(Short answer)
23. Нужна ли ипотека?
(Multiple choice)
        •        ☐ Да
        •        ☐ Нет
        •        ☐ Возможно
⸻
🧩 SECTION 8. Declarations
24. Подтверждаю, что информация верна
(Checkbox — required)
25. Понимаю, что результат зависит от банков и регуляторов
(Checkbox — required)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</si>
</sst>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
    <numFmt numFmtId="166" formatCode="[$usd]#,##0.00"/>
  </numFmts>
  <fonts count="26">
    <font>
      <sz val="10.0"/>
      <color rgb="FF000000"/>
      <name val="Arial"/>
      <scheme val="minor"/>
    </font>
    <font>
      <color theme="1"/>
      <name val="Arial"/>
      <scheme val="minor"/>
    </font>
    <font>
      <b/>
      <i/>
      <sz val="15.0"/>
      <color theme="1"/>
      <name val="Arial"/>
      <scheme val="minor"/>
    </font>
    <font>
      <color theme="1"/>
      <name val="Arial"/>
    </font>
    <font>
      <color theme="1"/>
      <name val="Calibri"/>
    </font>
    <font>
      <sz val="11.0"/>
      <color rgb="FF000000"/>
      <name val="&quot;Aptos Narrow&quot;"/>
    </font>
    <font>
      <color rgb="FF000000"/>
      <name val="Arial"/>
      <scheme val="minor"/>
    </font>
    <font>
      <b/>
      <sz val="24.0"/>
      <color rgb="FF000000"/>
      <name val="Arial"/>
      <scheme val="minor"/>
    </font>
    <font>
      <b/>
      <color theme="1"/>
      <name val="Arial"/>
      <scheme val="minor"/>
    </font>
    <font>
      <b/>
      <color rgb="FF000000"/>
      <name val="Arial"/>
      <scheme val="minor"/>
    </font>
    <font>
      <sz val="24.0"/>
      <color rgb="FF000000"/>
      <name val="Arial"/>
      <scheme val="minor"/>
    </font>
    <font>
      <b/>
      <sz val="17.0"/>
      <color theme="1"/>
      <name val="Arial"/>
      <scheme val="minor"/>
    </font>
    <font>
      <b/>
      <sz val="13.0"/>
      <color theme="1"/>
      <name val="Arial"/>
      <scheme val="minor"/>
    </font>
    <font>
      <b/>
      <sz val="13.0"/>
      <color rgb="FF000000"/>
      <name val="Arial"/>
      <scheme val="minor"/>
    </font>
    <font>
      <b/>
      <sz val="14.0"/>
      <color theme="1"/>
      <name val="Arial"/>
      <scheme val="minor"/>
    </font>
    <font>
      <sz val="11.0"/>
      <color rgb="FF000000"/>
      <name val="Calibri"/>
    </font>
    <font>
      <b/>
      <sz val="14.0"/>
      <color rgb="FF000000"/>
      <name val="Arial"/>
      <scheme val="minor"/>
    </font>
    <font>
      <sz val="12.0"/>
      <color rgb="FF000000"/>
      <name val="Arial"/>
      <scheme val="minor"/>
    </font>
    <font>
      <b/>
      <sz val="15.0"/>
      <color rgb="FF000000"/>
      <name val="Arial"/>
      <scheme val="minor"/>
    </font>
    <font>
      <sz val="12.0"/>
      <color theme="1"/>
      <name val="Arial"/>
      <scheme val="minor"/>
    </font>
    <font>
      <sz val="18.0"/>
      <color rgb="FF000000"/>
      <name val="Arial"/>
      <scheme val="minor"/>
    </font>
    <font>
      <b/>
      <sz val="18.0"/>
      <color rgb="FF000000"/>
      <name val="Arial"/>
      <scheme val="minor"/>
    </font>
    <font>
      <sz val="14.0"/>
      <color rgb="FF000000"/>
      <name val="Arial"/>
      <scheme val="minor"/>
    </font>
    <font>
      <b/>
      <sz val="14.0"/>
      <color rgb="FF000000"/>
      <name val="Arial"/>
    </font>
    <font/>
    <font>
      <sz val="10.0"/>
      <color theme="1"/>
      <name val="Arial"/>
      <scheme val="minor"/>
    </font>
  </fonts>
  <fills count="8">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D9EAD3"/>
        <bgColor rgb="FFD9EAD3"/>
      </patternFill>
    </fill>
    <fill>
      <patternFill patternType="solid">
        <fgColor rgb="FFFF0000"/>
        <bgColor rgb="FFFF0000"/>
      </patternFill>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0" fontId="2" numFmtId="0" xfId="0" applyAlignment="1" applyFont="1">
      <alignment readingOrder="0"/>
    </xf>
    <xf borderId="1" fillId="0" fontId="1" numFmtId="0" xfId="0" applyAlignment="1" applyBorder="1" applyFont="1">
      <alignment readingOrder="0"/>
    </xf>
    <xf borderId="1" fillId="0" fontId="1" numFmtId="0" xfId="0" applyAlignment="1" applyBorder="1" applyFont="1">
      <alignment readingOrder="0" shrinkToFit="0" wrapText="1"/>
    </xf>
    <xf borderId="1" fillId="0" fontId="3" numFmtId="0" xfId="0" applyAlignment="1" applyBorder="1" applyFont="1">
      <alignment horizontal="center" shrinkToFit="0" vertical="bottom" wrapText="1"/>
    </xf>
    <xf borderId="0" fillId="0" fontId="3" numFmtId="0" xfId="0" applyAlignment="1" applyFont="1">
      <alignment readingOrder="0" vertical="bottom"/>
    </xf>
    <xf borderId="1" fillId="0"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vertical="bottom"/>
    </xf>
    <xf borderId="1" fillId="2" fontId="1" numFmtId="0" xfId="0" applyAlignment="1" applyBorder="1" applyFill="1" applyFont="1">
      <alignment readingOrder="0" shrinkToFit="0" wrapText="1"/>
    </xf>
    <xf borderId="1" fillId="0" fontId="3" numFmtId="0" xfId="0" applyAlignment="1" applyBorder="1" applyFont="1">
      <alignment vertical="bottom"/>
    </xf>
    <xf borderId="1" fillId="0" fontId="4" numFmtId="1" xfId="0" applyAlignment="1" applyBorder="1" applyFont="1" applyNumberFormat="1">
      <alignment vertical="bottom"/>
    </xf>
    <xf borderId="1" fillId="3" fontId="1" numFmtId="0" xfId="0" applyAlignment="1" applyBorder="1" applyFill="1" applyFont="1">
      <alignment readingOrder="0" shrinkToFit="0" wrapText="1"/>
    </xf>
    <xf borderId="1" fillId="0" fontId="3" numFmtId="164" xfId="0" applyAlignment="1" applyBorder="1" applyFont="1" applyNumberFormat="1">
      <alignment vertical="bottom"/>
    </xf>
    <xf borderId="1" fillId="0" fontId="3" numFmtId="164" xfId="0" applyAlignment="1" applyBorder="1" applyFont="1" applyNumberFormat="1">
      <alignment readingOrder="0" vertical="bottom"/>
    </xf>
    <xf borderId="1" fillId="0" fontId="3" numFmtId="164" xfId="0" applyAlignment="1" applyBorder="1" applyFont="1" applyNumberFormat="1">
      <alignment horizontal="right" vertical="bottom"/>
    </xf>
    <xf borderId="1" fillId="0" fontId="1" numFmtId="0" xfId="0" applyAlignment="1" applyBorder="1" applyFont="1">
      <alignment shrinkToFit="0" wrapText="1"/>
    </xf>
    <xf borderId="1" fillId="4" fontId="1" numFmtId="0" xfId="0" applyAlignment="1" applyBorder="1" applyFill="1" applyFont="1">
      <alignment readingOrder="0" shrinkToFit="0" wrapText="1"/>
    </xf>
    <xf borderId="1" fillId="0" fontId="3" numFmtId="0" xfId="0" applyAlignment="1" applyBorder="1" applyFont="1">
      <alignment horizontal="center" shrinkToFit="0" vertical="bottom" wrapText="1"/>
    </xf>
    <xf borderId="0" fillId="0" fontId="5" numFmtId="0" xfId="0" applyAlignment="1" applyFont="1">
      <alignment readingOrder="0" shrinkToFit="0" vertical="bottom" wrapText="0"/>
    </xf>
    <xf borderId="0" fillId="0" fontId="1" numFmtId="0" xfId="0" applyFont="1"/>
    <xf borderId="0" fillId="2" fontId="1" numFmtId="0" xfId="0" applyAlignment="1" applyFont="1">
      <alignment readingOrder="0" shrinkToFit="0" wrapText="1"/>
    </xf>
    <xf borderId="0" fillId="0" fontId="5" numFmtId="0" xfId="0" applyAlignment="1" applyFont="1">
      <alignment horizontal="right" readingOrder="0" shrinkToFit="0" vertical="bottom" wrapText="0"/>
    </xf>
    <xf borderId="0" fillId="5" fontId="1" numFmtId="0" xfId="0" applyAlignment="1" applyFill="1" applyFont="1">
      <alignment readingOrder="0" shrinkToFit="0" wrapText="1"/>
    </xf>
    <xf borderId="0" fillId="0" fontId="5" numFmtId="165" xfId="0" applyAlignment="1" applyFont="1" applyNumberFormat="1">
      <alignment horizontal="right" readingOrder="0" shrinkToFit="0" vertical="bottom" wrapText="0"/>
    </xf>
    <xf borderId="0" fillId="0" fontId="5" numFmtId="0" xfId="0" applyAlignment="1" applyFont="1">
      <alignment shrinkToFit="0" vertical="bottom" wrapText="0"/>
    </xf>
    <xf borderId="0" fillId="0" fontId="1" numFmtId="164" xfId="0" applyFont="1" applyNumberFormat="1"/>
    <xf borderId="0" fillId="0" fontId="1" numFmtId="166" xfId="0" applyFont="1" applyNumberFormat="1"/>
    <xf borderId="0" fillId="0" fontId="3" numFmtId="0" xfId="0" applyAlignment="1" applyFont="1">
      <alignment vertical="bottom"/>
    </xf>
    <xf borderId="0" fillId="0" fontId="3" numFmtId="0" xfId="0" applyAlignment="1" applyFont="1">
      <alignment readingOrder="0" vertical="top"/>
    </xf>
    <xf borderId="0" fillId="0" fontId="3" numFmtId="0" xfId="0" applyAlignment="1" applyFont="1">
      <alignment shrinkToFit="0" vertical="bottom" wrapText="1"/>
    </xf>
    <xf borderId="0" fillId="0" fontId="3" numFmtId="0" xfId="0" applyAlignment="1" applyFont="1">
      <alignment vertical="top"/>
    </xf>
    <xf borderId="0" fillId="0" fontId="1" numFmtId="0" xfId="0" applyAlignment="1" applyFont="1">
      <alignment readingOrder="0" vertical="top"/>
    </xf>
    <xf borderId="0" fillId="0" fontId="1" numFmtId="0" xfId="0" applyAlignment="1" applyFont="1">
      <alignment readingOrder="0" shrinkToFit="0" wrapText="1"/>
    </xf>
    <xf borderId="0" fillId="0" fontId="1" numFmtId="0" xfId="0" applyAlignment="1" applyFont="1">
      <alignment readingOrder="0" shrinkToFit="0" vertical="top" wrapText="1"/>
    </xf>
    <xf borderId="0" fillId="2" fontId="1" numFmtId="0" xfId="0" applyAlignment="1" applyFont="1">
      <alignment readingOrder="0"/>
    </xf>
    <xf borderId="0" fillId="4" fontId="1" numFmtId="0" xfId="0" applyAlignment="1" applyFont="1">
      <alignment readingOrder="0"/>
    </xf>
    <xf borderId="0" fillId="6" fontId="1" numFmtId="0" xfId="0" applyAlignment="1" applyFill="1" applyFont="1">
      <alignment readingOrder="0"/>
    </xf>
    <xf borderId="0" fillId="6" fontId="1" numFmtId="0" xfId="0" applyFont="1"/>
    <xf borderId="0" fillId="0" fontId="6" numFmtId="0" xfId="0" applyAlignment="1" applyFont="1">
      <alignment readingOrder="0"/>
    </xf>
    <xf borderId="0" fillId="0" fontId="6" numFmtId="0" xfId="0" applyFont="1"/>
    <xf borderId="0" fillId="0" fontId="7" numFmtId="0" xfId="0" applyAlignment="1" applyFont="1">
      <alignment readingOrder="0"/>
    </xf>
    <xf borderId="0" fillId="0" fontId="8" numFmtId="0" xfId="0" applyAlignment="1" applyFont="1">
      <alignment horizontal="center" readingOrder="0" shrinkToFit="0" vertical="center" wrapText="0"/>
    </xf>
    <xf borderId="0" fillId="0" fontId="9" numFmtId="0" xfId="0" applyAlignment="1" applyFont="1">
      <alignment readingOrder="0" shrinkToFit="0" vertical="center" wrapText="0"/>
    </xf>
    <xf borderId="0" fillId="0" fontId="6" numFmtId="0" xfId="0" applyAlignment="1" applyFont="1">
      <alignment readingOrder="0" shrinkToFit="0" vertical="center" wrapText="0"/>
    </xf>
    <xf borderId="0" fillId="0" fontId="10" numFmtId="0" xfId="0" applyFont="1"/>
    <xf borderId="0" fillId="0" fontId="1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2" numFmtId="0" xfId="0" applyAlignment="1" applyFont="1">
      <alignment readingOrder="0" shrinkToFit="0" vertical="center" wrapText="1"/>
    </xf>
    <xf borderId="0" fillId="0" fontId="8" numFmtId="0" xfId="0" applyAlignment="1" applyFont="1">
      <alignment readingOrder="0" shrinkToFit="0" vertical="center" wrapText="1"/>
    </xf>
    <xf borderId="0" fillId="4" fontId="1" numFmtId="0" xfId="0" applyAlignment="1" applyFont="1">
      <alignment readingOrder="0" shrinkToFit="0" vertical="center" wrapText="1"/>
    </xf>
    <xf borderId="0" fillId="4" fontId="6"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6" numFmtId="0" xfId="0" applyAlignment="1" applyFont="1">
      <alignment readingOrder="0" shrinkToFit="0" vertical="center" wrapText="1"/>
    </xf>
    <xf borderId="0" fillId="0" fontId="6" numFmtId="0" xfId="0" applyAlignment="1" applyFont="1">
      <alignment readingOrder="0" shrinkToFit="0" vertical="center" wrapText="1"/>
    </xf>
    <xf borderId="0" fillId="7" fontId="6" numFmtId="0" xfId="0" applyAlignment="1" applyFill="1" applyFont="1">
      <alignment readingOrder="0" shrinkToFit="0" vertical="center" wrapText="1"/>
    </xf>
    <xf borderId="0" fillId="4" fontId="6" numFmtId="0" xfId="0" applyAlignment="1" applyFont="1">
      <alignment readingOrder="0" shrinkToFit="0" vertical="center" wrapText="1"/>
    </xf>
    <xf borderId="0" fillId="0" fontId="6" numFmtId="0" xfId="0" applyAlignment="1" applyFont="1">
      <alignment readingOrder="0" shrinkToFit="0" vertical="center" wrapText="1"/>
    </xf>
    <xf borderId="0" fillId="0" fontId="1" numFmtId="0" xfId="0" applyAlignment="1" applyFont="1">
      <alignment readingOrder="0" shrinkToFit="0" vertical="center" wrapText="1"/>
    </xf>
    <xf borderId="0" fillId="4"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4" numFmtId="0" xfId="0" applyAlignment="1" applyFont="1">
      <alignment horizontal="left" readingOrder="0" shrinkToFit="0" vertical="center" wrapText="1"/>
    </xf>
    <xf borderId="0" fillId="0" fontId="15" numFmtId="0" xfId="0" applyAlignment="1" applyFont="1">
      <alignment readingOrder="0" shrinkToFit="0" vertical="bottom" wrapText="1"/>
    </xf>
    <xf borderId="0" fillId="0" fontId="8" numFmtId="0" xfId="0" applyAlignment="1" applyFont="1">
      <alignment readingOrder="0" shrinkToFit="0" vertical="center" wrapText="1"/>
    </xf>
    <xf borderId="0" fillId="0" fontId="7" numFmtId="0" xfId="0" applyAlignment="1" applyFont="1">
      <alignment readingOrder="0" shrinkToFit="0" wrapText="0"/>
    </xf>
    <xf borderId="0" fillId="0" fontId="10" numFmtId="0" xfId="0" applyAlignment="1" applyFont="1">
      <alignment shrinkToFit="0" wrapText="1"/>
    </xf>
    <xf borderId="0" fillId="0" fontId="8" numFmtId="0" xfId="0" applyAlignment="1" applyFont="1">
      <alignment horizontal="center" readingOrder="0" shrinkToFit="0" vertical="center" wrapText="1"/>
    </xf>
    <xf borderId="0" fillId="0" fontId="16" numFmtId="0" xfId="0" applyAlignment="1" applyFont="1">
      <alignment readingOrder="0"/>
    </xf>
    <xf borderId="0" fillId="0" fontId="17" numFmtId="0" xfId="0" applyFont="1"/>
    <xf borderId="0" fillId="0" fontId="17" numFmtId="0" xfId="0" applyAlignment="1" applyFont="1">
      <alignment readingOrder="0"/>
    </xf>
    <xf borderId="0" fillId="0" fontId="18" numFmtId="0" xfId="0" applyAlignment="1" applyFont="1">
      <alignment readingOrder="0"/>
    </xf>
    <xf borderId="0" fillId="0" fontId="19" numFmtId="0" xfId="0" applyFont="1"/>
    <xf borderId="0" fillId="0" fontId="20" numFmtId="0" xfId="0" applyFont="1"/>
    <xf borderId="0" fillId="0" fontId="19" numFmtId="0" xfId="0" applyAlignment="1" applyFont="1">
      <alignment readingOrder="0" shrinkToFit="0" wrapText="0"/>
    </xf>
    <xf borderId="0" fillId="0" fontId="21" numFmtId="0" xfId="0" applyAlignment="1" applyFont="1">
      <alignment readingOrder="0"/>
    </xf>
    <xf borderId="0" fillId="0" fontId="1" numFmtId="0" xfId="0" applyAlignment="1" applyFont="1">
      <alignment readingOrder="0" shrinkToFit="0" wrapText="0"/>
    </xf>
    <xf borderId="0" fillId="0" fontId="22" numFmtId="0" xfId="0" applyFont="1"/>
    <xf borderId="0" fillId="0" fontId="22" numFmtId="0" xfId="0" applyAlignment="1" applyFont="1">
      <alignment readingOrder="0"/>
    </xf>
    <xf borderId="0" fillId="0" fontId="20" numFmtId="0" xfId="0" applyAlignment="1" applyFont="1">
      <alignment readingOrder="0"/>
    </xf>
    <xf borderId="2" fillId="0" fontId="23" numFmtId="0" xfId="0" applyAlignment="1" applyBorder="1" applyFont="1">
      <alignment horizontal="center" readingOrder="0"/>
    </xf>
    <xf borderId="3" fillId="0" fontId="24" numFmtId="0" xfId="0" applyBorder="1" applyFont="1"/>
    <xf borderId="1" fillId="0" fontId="1" numFmtId="0" xfId="0" applyBorder="1" applyFont="1"/>
    <xf borderId="2" fillId="0" fontId="8" numFmtId="0" xfId="0" applyAlignment="1" applyBorder="1" applyFont="1">
      <alignment horizontal="center" readingOrder="0"/>
    </xf>
    <xf borderId="2" fillId="0" fontId="6" numFmtId="0" xfId="0" applyAlignment="1" applyBorder="1" applyFont="1">
      <alignment horizontal="center" readingOrder="0"/>
    </xf>
    <xf borderId="1" fillId="0" fontId="9" numFmtId="0" xfId="0" applyBorder="1" applyFont="1"/>
    <xf borderId="1" fillId="0" fontId="9" numFmtId="0" xfId="0" applyAlignment="1" applyBorder="1" applyFont="1">
      <alignment horizontal="center" readingOrder="0"/>
    </xf>
    <xf borderId="1" fillId="0" fontId="9" numFmtId="0" xfId="0" applyAlignment="1" applyBorder="1" applyFont="1">
      <alignment readingOrder="0"/>
    </xf>
    <xf borderId="1" fillId="0" fontId="6" numFmtId="0" xfId="0" applyAlignment="1" applyBorder="1" applyFont="1">
      <alignment readingOrder="0" vertical="center"/>
    </xf>
    <xf borderId="1" fillId="0" fontId="1" numFmtId="0" xfId="0" applyAlignment="1" applyBorder="1" applyFont="1">
      <alignment readingOrder="0" vertical="center"/>
    </xf>
    <xf borderId="1" fillId="0" fontId="6" numFmtId="0" xfId="0" applyAlignment="1" applyBorder="1" applyFont="1">
      <alignment readingOrder="0"/>
    </xf>
    <xf borderId="0" fillId="0" fontId="9" numFmtId="0" xfId="0" applyFont="1"/>
    <xf borderId="0" fillId="0" fontId="9" numFmtId="0" xfId="0" applyAlignment="1" applyFont="1">
      <alignment readingOrder="0"/>
    </xf>
    <xf borderId="0" fillId="0" fontId="1" numFmtId="0" xfId="0" applyAlignment="1" applyFont="1">
      <alignment readingOrder="0" shrinkToFit="0" vertical="top" wrapText="0"/>
    </xf>
    <xf borderId="0" fillId="0" fontId="1" numFmtId="0" xfId="0" applyAlignment="1" applyFont="1">
      <alignment vertical="top"/>
    </xf>
    <xf borderId="0" fillId="0" fontId="25" numFmtId="0" xfId="0" applyAlignment="1" applyFont="1">
      <alignment readingOrder="0" vertical="top"/>
    </xf>
    <xf borderId="0" fillId="0" fontId="1" numFmtId="0" xfId="0" applyAlignment="1" applyFont="1">
      <alignment horizontal="left"/>
    </xf>
    <xf borderId="0" fillId="0" fontId="1" numFmtId="0" xfId="0" applyAlignment="1" applyFont="1">
      <alignment horizontal="left" readingOrder="0"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НЕДЕЛЯ 2-style">
      <tableStyleElement dxfId="1" type="headerRow"/>
      <tableStyleElement dxfId="2" type="firstRowStripe"/>
      <tableStyleElement dxfId="3" type="secondRowStripe"/>
      <tableStyleElement dxfId="4" size="0" type="wholeTable"/>
    </tableStyle>
    <tableStyle count="4" pivot="0" name="НЕДЕЛЯ 2-style 2">
      <tableStyleElement dxfId="1" type="headerRow"/>
      <tableStyleElement dxfId="2" type="firstRowStripe"/>
      <tableStyleElement dxfId="3" type="secondRowStripe"/>
      <tableStyleElement dxfId="4" size="0" type="wholeTable"/>
    </tableStyle>
    <tableStyle count="4" pivot="0" name="НЕДЕЛЯ 2-style 3">
      <tableStyleElement dxfId="1" type="headerRow"/>
      <tableStyleElement dxfId="2" type="firstRowStripe"/>
      <tableStyleElement dxfId="3" type="secondRowStripe"/>
      <tableStyleElement dxfId="4" size="0" type="wholeTable"/>
    </tableStyle>
    <tableStyle count="4" pivot="0" name="НЕДЕЛЯ 2-style 4">
      <tableStyleElement dxfId="1" type="headerRow"/>
      <tableStyleElement dxfId="2" type="firstRowStripe"/>
      <tableStyleElement dxfId="3" type="secondRowStripe"/>
      <tableStyleElement dxfId="4" size="0" type="wholeTable"/>
    </tableStyle>
    <tableStyle count="4" pivot="0" name="НЕДЕЛЯ 2-style 5">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3</xdr:row>
      <xdr:rowOff>123825</xdr:rowOff>
    </xdr:from>
    <xdr:ext cx="9410700" cy="5619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942975</xdr:colOff>
      <xdr:row>22</xdr:row>
      <xdr:rowOff>219075</xdr:rowOff>
    </xdr:from>
    <xdr:ext cx="7524750" cy="56197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E29" displayName="Таблица4" name="Таблица4" id="1">
  <tableColumns count="4">
    <tableColumn name="Категория" id="1"/>
    <tableColumn name="Услуга" id="2"/>
    <tableColumn name="Краткое описание" id="3"/>
    <tableColumn name="Итоговый результат" id="4"/>
  </tableColumns>
  <tableStyleInfo name="НЕДЕЛЯ 2-style" showColumnStripes="0" showFirstColumn="1" showLastColumn="1" showRowStripes="1"/>
</table>
</file>

<file path=xl/tables/table2.xml><?xml version="1.0" encoding="utf-8"?>
<table xmlns="http://schemas.openxmlformats.org/spreadsheetml/2006/main" ref="B35:J56" displayName="Таблица1" name="Таблица1" id="2">
  <tableColumns count="9">
    <tableColumn name="Услуги поштучно " id="1"/>
    <tableColumn name="Столбец 1" id="2"/>
    <tableColumn name="Столбец 2" id="3"/>
    <tableColumn name="Столбец 3" id="4"/>
    <tableColumn name="Столбец 4" id="5"/>
    <tableColumn name="Column 10" id="6"/>
    <tableColumn name="Column 9" id="7"/>
    <tableColumn name="Столбец 5" id="8"/>
    <tableColumn name="Столбец 6" id="9"/>
  </tableColumns>
  <tableStyleInfo name="НЕДЕЛЯ 2-style 2" showColumnStripes="0" showFirstColumn="1" showLastColumn="1" showRowStripes="1"/>
</table>
</file>

<file path=xl/tables/table3.xml><?xml version="1.0" encoding="utf-8"?>
<table xmlns="http://schemas.openxmlformats.org/spreadsheetml/2006/main" ref="B64:F77" displayName="Таблица2" name="Таблица2" id="3">
  <tableColumns count="5">
    <tableColumn name="Пакетные предложения" id="1"/>
    <tableColumn name="Столбец 1" id="2"/>
    <tableColumn name="Столбец 2" id="3"/>
    <tableColumn name="Столбец 3" id="4"/>
    <tableColumn name="Столбец 4" id="5"/>
  </tableColumns>
  <tableStyleInfo name="НЕДЕЛЯ 2-style 3" showColumnStripes="0" showFirstColumn="1" showLastColumn="1" showRowStripes="1"/>
</table>
</file>

<file path=xl/tables/table4.xml><?xml version="1.0" encoding="utf-8"?>
<table xmlns="http://schemas.openxmlformats.org/spreadsheetml/2006/main" ref="B85:H95" displayName="Таблица3" name="Таблица3" id="4">
  <tableColumns count="7">
    <tableColumn name="Этап" id="1"/>
    <tableColumn name="Период" id="2"/>
    <tableColumn name="Что происходит" id="3"/>
    <tableColumn name="Действия WTP" id="4"/>
    <tableColumn name="Действия клиента" id="5"/>
    <tableColumn name="Контрольная точка" id="6"/>
    <tableColumn name="Результат этапа" id="7"/>
  </tableColumns>
  <tableStyleInfo name="НЕДЕЛЯ 2-style 4" showColumnStripes="0" showFirstColumn="1" showLastColumn="1" showRowStripes="1"/>
</table>
</file>

<file path=xl/tables/table5.xml><?xml version="1.0" encoding="utf-8"?>
<table xmlns="http://schemas.openxmlformats.org/spreadsheetml/2006/main" ref="B121:D127" displayName="Таблица5" name="Таблица5" id="5">
  <tableColumns count="3">
    <tableColumn name="Продукт" id="1"/>
    <tableColumn name="Основные риски" id="2"/>
    <tableColumn name="Кто принимает финальное решение" id="3"/>
  </tableColumns>
  <tableStyleInfo name="НЕДЕЛЯ 2-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27.5"/>
    <col customWidth="1" min="3" max="3" width="31.88"/>
    <col customWidth="1" min="7" max="7" width="30.0"/>
    <col customWidth="1" min="10" max="10" width="21.88"/>
    <col customWidth="1" min="11" max="11" width="24.75"/>
    <col customWidth="1" min="12" max="12" width="20.0"/>
    <col customWidth="1" min="14" max="14" width="18.13"/>
    <col customWidth="1" min="23" max="23" width="15.0"/>
  </cols>
  <sheetData>
    <row r="1">
      <c r="A1" s="1"/>
      <c r="B1" s="1" t="s">
        <v>0</v>
      </c>
      <c r="G1" s="2"/>
      <c r="H1" s="2"/>
      <c r="I1" s="2"/>
      <c r="J1" s="2"/>
      <c r="K1" s="2"/>
      <c r="L1" s="2"/>
    </row>
    <row r="2">
      <c r="G2" s="2"/>
      <c r="H2" s="2"/>
      <c r="I2" s="2"/>
      <c r="J2" s="2"/>
      <c r="K2" s="2"/>
      <c r="L2" s="2"/>
    </row>
    <row r="3">
      <c r="B3" s="3" t="s">
        <v>1</v>
      </c>
      <c r="G3" s="2"/>
      <c r="H3" s="2"/>
      <c r="I3" s="2"/>
      <c r="J3" s="2"/>
      <c r="K3" s="2"/>
      <c r="L3" s="2"/>
    </row>
    <row r="4">
      <c r="G4" s="2"/>
      <c r="H4" s="2"/>
      <c r="I4" s="2"/>
      <c r="J4" s="2"/>
      <c r="K4" s="2"/>
      <c r="L4" s="2"/>
    </row>
    <row r="5">
      <c r="A5" s="1"/>
      <c r="B5" s="4" t="s">
        <v>2</v>
      </c>
      <c r="C5" s="4" t="s">
        <v>3</v>
      </c>
      <c r="D5" s="4" t="s">
        <v>4</v>
      </c>
      <c r="E5" s="4" t="s">
        <v>5</v>
      </c>
      <c r="F5" s="4" t="s">
        <v>6</v>
      </c>
      <c r="G5" s="5" t="s">
        <v>7</v>
      </c>
      <c r="H5" s="5" t="s">
        <v>8</v>
      </c>
      <c r="I5" s="6" t="s">
        <v>9</v>
      </c>
      <c r="J5" s="5" t="s">
        <v>10</v>
      </c>
      <c r="K5" s="5" t="s">
        <v>11</v>
      </c>
      <c r="L5" s="2"/>
    </row>
    <row r="6">
      <c r="A6" s="7">
        <v>1.0</v>
      </c>
      <c r="B6" s="8" t="s">
        <v>12</v>
      </c>
      <c r="C6" s="9">
        <v>1.0</v>
      </c>
      <c r="D6" s="10">
        <v>10695.0</v>
      </c>
      <c r="E6" s="10">
        <v>6043.0</v>
      </c>
      <c r="F6" s="10">
        <f t="shared" ref="F6:F7" si="1">D6-E6</f>
        <v>4652</v>
      </c>
      <c r="G6" s="11" t="s">
        <v>13</v>
      </c>
      <c r="H6" s="5" t="s">
        <v>14</v>
      </c>
      <c r="I6" s="6">
        <v>15.0</v>
      </c>
      <c r="J6" s="5" t="s">
        <v>15</v>
      </c>
      <c r="K6" s="5" t="s">
        <v>16</v>
      </c>
      <c r="L6" s="2"/>
    </row>
    <row r="7">
      <c r="A7" s="7">
        <v>2.0</v>
      </c>
      <c r="B7" s="12" t="s">
        <v>17</v>
      </c>
      <c r="C7" s="9">
        <v>2.0</v>
      </c>
      <c r="D7" s="10">
        <v>680.0</v>
      </c>
      <c r="E7" s="10">
        <v>340.0</v>
      </c>
      <c r="F7" s="10">
        <f t="shared" si="1"/>
        <v>340</v>
      </c>
      <c r="G7" s="11" t="s">
        <v>13</v>
      </c>
      <c r="H7" s="5" t="s">
        <v>18</v>
      </c>
      <c r="I7" s="6">
        <v>2.0</v>
      </c>
      <c r="J7" s="5" t="s">
        <v>19</v>
      </c>
      <c r="K7" s="5" t="s">
        <v>20</v>
      </c>
      <c r="L7" s="2"/>
    </row>
    <row r="8">
      <c r="A8" s="7">
        <v>3.0</v>
      </c>
      <c r="B8" s="12" t="s">
        <v>21</v>
      </c>
      <c r="C8" s="9">
        <v>3.0</v>
      </c>
      <c r="D8" s="10">
        <v>1362.0</v>
      </c>
      <c r="E8" s="13">
        <f t="shared" ref="E8:E9" si="2">150*I8/3.67</f>
        <v>204.359673</v>
      </c>
      <c r="F8" s="10">
        <v>1362.0</v>
      </c>
      <c r="G8" s="11" t="s">
        <v>13</v>
      </c>
      <c r="H8" s="5" t="s">
        <v>22</v>
      </c>
      <c r="I8" s="6">
        <v>5.0</v>
      </c>
      <c r="J8" s="5" t="s">
        <v>23</v>
      </c>
      <c r="K8" s="5" t="s">
        <v>24</v>
      </c>
      <c r="L8" s="2"/>
    </row>
    <row r="9">
      <c r="A9" s="7">
        <v>4.0</v>
      </c>
      <c r="B9" s="12" t="s">
        <v>25</v>
      </c>
      <c r="C9" s="9">
        <v>4.0</v>
      </c>
      <c r="D9" s="10">
        <v>149.0</v>
      </c>
      <c r="E9" s="13">
        <f t="shared" si="2"/>
        <v>40.8719346</v>
      </c>
      <c r="F9" s="10">
        <v>149.0</v>
      </c>
      <c r="G9" s="14" t="s">
        <v>26</v>
      </c>
      <c r="H9" s="5" t="s">
        <v>27</v>
      </c>
      <c r="I9" s="6">
        <v>1.0</v>
      </c>
      <c r="J9" s="5" t="s">
        <v>28</v>
      </c>
      <c r="K9" s="5" t="s">
        <v>29</v>
      </c>
      <c r="L9" s="2"/>
    </row>
    <row r="10">
      <c r="A10" s="7">
        <v>5.0</v>
      </c>
      <c r="B10" s="15" t="s">
        <v>30</v>
      </c>
      <c r="C10" s="16">
        <v>5.0</v>
      </c>
      <c r="D10" s="17">
        <v>11000.0</v>
      </c>
      <c r="E10" s="17">
        <f>28000/3.67</f>
        <v>7629.427793</v>
      </c>
      <c r="F10" s="17">
        <f t="shared" ref="F10:F28" si="3">D10-E10</f>
        <v>3370.572207</v>
      </c>
      <c r="G10" s="11" t="s">
        <v>13</v>
      </c>
      <c r="H10" s="5" t="s">
        <v>31</v>
      </c>
      <c r="I10" s="6">
        <v>40.0</v>
      </c>
      <c r="J10" s="5" t="s">
        <v>32</v>
      </c>
      <c r="K10" s="5" t="s">
        <v>33</v>
      </c>
      <c r="L10" s="2"/>
    </row>
    <row r="11">
      <c r="A11" s="7">
        <v>6.0</v>
      </c>
      <c r="B11" s="15" t="s">
        <v>34</v>
      </c>
      <c r="C11" s="16">
        <v>6.0</v>
      </c>
      <c r="D11" s="17">
        <v>5309.0</v>
      </c>
      <c r="E11" s="17">
        <v>3178.0</v>
      </c>
      <c r="F11" s="17">
        <f t="shared" si="3"/>
        <v>2131</v>
      </c>
      <c r="G11" s="11" t="s">
        <v>13</v>
      </c>
      <c r="H11" s="5" t="s">
        <v>35</v>
      </c>
      <c r="I11" s="6">
        <v>10.0</v>
      </c>
      <c r="J11" s="5" t="s">
        <v>36</v>
      </c>
      <c r="K11" s="5" t="s">
        <v>37</v>
      </c>
      <c r="L11" s="2"/>
    </row>
    <row r="12">
      <c r="A12" s="7">
        <v>7.0</v>
      </c>
      <c r="B12" s="15" t="s">
        <v>38</v>
      </c>
      <c r="C12" s="16">
        <v>7.0</v>
      </c>
      <c r="D12" s="17">
        <v>569.0</v>
      </c>
      <c r="E12" s="17">
        <v>327.0</v>
      </c>
      <c r="F12" s="17">
        <f t="shared" si="3"/>
        <v>242</v>
      </c>
      <c r="G12" s="11" t="s">
        <v>13</v>
      </c>
      <c r="H12" s="5" t="s">
        <v>39</v>
      </c>
      <c r="I12" s="6">
        <v>1.0</v>
      </c>
      <c r="J12" s="5" t="s">
        <v>40</v>
      </c>
      <c r="K12" s="18"/>
      <c r="L12" s="2"/>
    </row>
    <row r="13">
      <c r="A13" s="7">
        <v>8.0</v>
      </c>
      <c r="B13" s="15" t="s">
        <v>38</v>
      </c>
      <c r="C13" s="16">
        <v>7.0</v>
      </c>
      <c r="D13" s="17">
        <v>569.0</v>
      </c>
      <c r="E13" s="17">
        <v>327.0</v>
      </c>
      <c r="F13" s="17">
        <f t="shared" si="3"/>
        <v>242</v>
      </c>
      <c r="G13" s="11" t="s">
        <v>13</v>
      </c>
      <c r="H13" s="5" t="s">
        <v>39</v>
      </c>
      <c r="I13" s="6">
        <v>1.0</v>
      </c>
      <c r="J13" s="5" t="s">
        <v>40</v>
      </c>
      <c r="K13" s="18"/>
      <c r="L13" s="2"/>
    </row>
    <row r="14">
      <c r="A14" s="7">
        <v>9.0</v>
      </c>
      <c r="B14" s="15" t="s">
        <v>38</v>
      </c>
      <c r="C14" s="16">
        <v>7.0</v>
      </c>
      <c r="D14" s="17">
        <v>871.0</v>
      </c>
      <c r="E14" s="17">
        <v>681.0</v>
      </c>
      <c r="F14" s="17">
        <f t="shared" si="3"/>
        <v>190</v>
      </c>
      <c r="G14" s="11" t="s">
        <v>13</v>
      </c>
      <c r="H14" s="5" t="s">
        <v>39</v>
      </c>
      <c r="I14" s="6">
        <v>1.0</v>
      </c>
      <c r="J14" s="5" t="s">
        <v>40</v>
      </c>
      <c r="K14" s="18"/>
      <c r="L14" s="2"/>
    </row>
    <row r="15">
      <c r="A15" s="7">
        <v>10.0</v>
      </c>
      <c r="B15" s="15" t="s">
        <v>38</v>
      </c>
      <c r="C15" s="16">
        <v>8.0</v>
      </c>
      <c r="D15" s="17">
        <v>569.0</v>
      </c>
      <c r="E15" s="17">
        <v>339.0</v>
      </c>
      <c r="F15" s="17">
        <f t="shared" si="3"/>
        <v>230</v>
      </c>
      <c r="G15" s="11" t="s">
        <v>13</v>
      </c>
      <c r="H15" s="5" t="s">
        <v>39</v>
      </c>
      <c r="I15" s="6">
        <v>1.0</v>
      </c>
      <c r="J15" s="5" t="s">
        <v>40</v>
      </c>
      <c r="K15" s="18"/>
      <c r="L15" s="2"/>
    </row>
    <row r="16">
      <c r="A16" s="7">
        <v>11.0</v>
      </c>
      <c r="B16" s="15" t="s">
        <v>41</v>
      </c>
      <c r="C16" s="16">
        <v>9.0</v>
      </c>
      <c r="D16" s="17">
        <v>6830.0</v>
      </c>
      <c r="E16" s="17">
        <f>4098</f>
        <v>4098</v>
      </c>
      <c r="F16" s="17">
        <f t="shared" si="3"/>
        <v>2732</v>
      </c>
      <c r="G16" s="19" t="s">
        <v>42</v>
      </c>
      <c r="H16" s="5" t="s">
        <v>43</v>
      </c>
      <c r="I16" s="6">
        <v>5.0</v>
      </c>
      <c r="J16" s="5" t="s">
        <v>40</v>
      </c>
      <c r="K16" s="5" t="s">
        <v>44</v>
      </c>
      <c r="L16" s="2"/>
    </row>
    <row r="17">
      <c r="A17" s="7">
        <v>12.0</v>
      </c>
      <c r="B17" s="15" t="s">
        <v>45</v>
      </c>
      <c r="C17" s="16">
        <v>10.0</v>
      </c>
      <c r="D17" s="17">
        <v>544.0</v>
      </c>
      <c r="E17" s="17">
        <v>133.0</v>
      </c>
      <c r="F17" s="17">
        <f t="shared" si="3"/>
        <v>411</v>
      </c>
      <c r="G17" s="11" t="s">
        <v>13</v>
      </c>
      <c r="H17" s="5" t="s">
        <v>39</v>
      </c>
      <c r="I17" s="6">
        <v>3.0</v>
      </c>
      <c r="J17" s="5" t="s">
        <v>40</v>
      </c>
      <c r="K17" s="5" t="s">
        <v>46</v>
      </c>
      <c r="L17" s="2"/>
    </row>
    <row r="18">
      <c r="A18" s="7">
        <v>13.0</v>
      </c>
      <c r="B18" s="15" t="s">
        <v>47</v>
      </c>
      <c r="C18" s="16">
        <v>11.0</v>
      </c>
      <c r="D18" s="17">
        <v>1000.0</v>
      </c>
      <c r="E18" s="17">
        <v>0.0</v>
      </c>
      <c r="F18" s="17">
        <f t="shared" si="3"/>
        <v>1000</v>
      </c>
      <c r="G18" s="11" t="s">
        <v>13</v>
      </c>
      <c r="H18" s="5" t="s">
        <v>48</v>
      </c>
      <c r="I18" s="6">
        <v>1.0</v>
      </c>
      <c r="J18" s="5" t="s">
        <v>49</v>
      </c>
      <c r="K18" s="5" t="s">
        <v>50</v>
      </c>
      <c r="L18" s="2"/>
    </row>
    <row r="19">
      <c r="A19" s="7">
        <v>14.0</v>
      </c>
      <c r="B19" s="12" t="s">
        <v>51</v>
      </c>
      <c r="C19" s="9">
        <v>12.0</v>
      </c>
      <c r="D19" s="10">
        <v>2316.0</v>
      </c>
      <c r="E19" s="10">
        <v>1226.0</v>
      </c>
      <c r="F19" s="10">
        <f t="shared" si="3"/>
        <v>1090</v>
      </c>
      <c r="G19" s="11" t="s">
        <v>13</v>
      </c>
      <c r="H19" s="5" t="s">
        <v>35</v>
      </c>
      <c r="I19" s="6">
        <v>3.0</v>
      </c>
      <c r="J19" s="5" t="s">
        <v>52</v>
      </c>
      <c r="K19" s="5" t="s">
        <v>53</v>
      </c>
      <c r="L19" s="2"/>
      <c r="N19" s="1" t="s">
        <v>54</v>
      </c>
    </row>
    <row r="20">
      <c r="A20" s="7">
        <v>15.0</v>
      </c>
      <c r="B20" s="12" t="s">
        <v>55</v>
      </c>
      <c r="C20" s="9">
        <v>12.0</v>
      </c>
      <c r="D20" s="10">
        <v>2316.0</v>
      </c>
      <c r="E20" s="10">
        <v>1144.0</v>
      </c>
      <c r="F20" s="10">
        <f t="shared" si="3"/>
        <v>1172</v>
      </c>
      <c r="G20" s="11" t="s">
        <v>13</v>
      </c>
      <c r="H20" s="5" t="s">
        <v>56</v>
      </c>
      <c r="I20" s="6">
        <v>2.0</v>
      </c>
      <c r="J20" s="5" t="s">
        <v>52</v>
      </c>
      <c r="K20" s="18"/>
      <c r="L20" s="2"/>
    </row>
    <row r="21">
      <c r="A21" s="7">
        <v>16.0</v>
      </c>
      <c r="B21" s="12" t="s">
        <v>57</v>
      </c>
      <c r="C21" s="9">
        <v>13.0</v>
      </c>
      <c r="D21" s="10">
        <v>681.0</v>
      </c>
      <c r="E21" s="10">
        <v>326.0</v>
      </c>
      <c r="F21" s="10">
        <f t="shared" si="3"/>
        <v>355</v>
      </c>
      <c r="G21" s="19" t="s">
        <v>58</v>
      </c>
      <c r="H21" s="5" t="s">
        <v>39</v>
      </c>
      <c r="I21" s="20">
        <v>1.0</v>
      </c>
      <c r="J21" s="18"/>
      <c r="K21" s="5" t="s">
        <v>59</v>
      </c>
      <c r="L21" s="2"/>
    </row>
    <row r="22">
      <c r="A22" s="7">
        <v>17.0</v>
      </c>
      <c r="B22" s="12" t="s">
        <v>57</v>
      </c>
      <c r="C22" s="9">
        <v>14.0</v>
      </c>
      <c r="D22" s="10">
        <v>681.0</v>
      </c>
      <c r="E22" s="10">
        <v>326.0</v>
      </c>
      <c r="F22" s="10">
        <f t="shared" si="3"/>
        <v>355</v>
      </c>
      <c r="G22" s="19" t="s">
        <v>58</v>
      </c>
      <c r="H22" s="5" t="s">
        <v>39</v>
      </c>
      <c r="I22" s="20">
        <v>1.0</v>
      </c>
      <c r="J22" s="18"/>
      <c r="K22" s="5" t="s">
        <v>59</v>
      </c>
      <c r="L22" s="2"/>
      <c r="N22" s="1" t="s">
        <v>60</v>
      </c>
    </row>
    <row r="23">
      <c r="A23" s="7">
        <v>18.0</v>
      </c>
      <c r="B23" s="12" t="s">
        <v>21</v>
      </c>
      <c r="C23" s="9">
        <v>15.0</v>
      </c>
      <c r="D23" s="10">
        <v>5300.0</v>
      </c>
      <c r="E23" s="10">
        <v>3000.0</v>
      </c>
      <c r="F23" s="10">
        <f t="shared" si="3"/>
        <v>2300</v>
      </c>
      <c r="G23" s="11" t="s">
        <v>61</v>
      </c>
      <c r="H23" s="5" t="s">
        <v>62</v>
      </c>
      <c r="I23" s="6">
        <v>4.0</v>
      </c>
      <c r="J23" s="5" t="s">
        <v>63</v>
      </c>
      <c r="K23" s="18"/>
      <c r="L23" s="2"/>
    </row>
    <row r="24">
      <c r="A24" s="7">
        <v>19.0</v>
      </c>
      <c r="B24" s="12" t="s">
        <v>64</v>
      </c>
      <c r="C24" s="9">
        <v>16.0</v>
      </c>
      <c r="D24" s="10">
        <v>2495.0</v>
      </c>
      <c r="E24" s="10">
        <v>1285.0</v>
      </c>
      <c r="F24" s="10">
        <f t="shared" si="3"/>
        <v>1210</v>
      </c>
      <c r="G24" s="19" t="s">
        <v>58</v>
      </c>
      <c r="H24" s="18"/>
      <c r="I24" s="20">
        <v>4.0</v>
      </c>
      <c r="J24" s="18"/>
      <c r="K24" s="18"/>
      <c r="L24" s="2"/>
    </row>
    <row r="25">
      <c r="A25" s="7">
        <v>20.0</v>
      </c>
      <c r="B25" s="12" t="s">
        <v>65</v>
      </c>
      <c r="C25" s="9">
        <v>17.0</v>
      </c>
      <c r="D25" s="10">
        <v>136.0</v>
      </c>
      <c r="E25" s="10">
        <v>0.0</v>
      </c>
      <c r="F25" s="10">
        <f t="shared" si="3"/>
        <v>136</v>
      </c>
      <c r="G25" s="19" t="s">
        <v>61</v>
      </c>
      <c r="H25" s="5" t="s">
        <v>39</v>
      </c>
      <c r="I25" s="6">
        <v>1.0</v>
      </c>
      <c r="J25" s="5" t="s">
        <v>66</v>
      </c>
      <c r="K25" s="18"/>
      <c r="L25" s="2"/>
    </row>
    <row r="26">
      <c r="A26" s="7">
        <v>21.0</v>
      </c>
      <c r="B26" s="12" t="s">
        <v>65</v>
      </c>
      <c r="C26" s="9">
        <v>17.0</v>
      </c>
      <c r="D26" s="10">
        <v>201.0</v>
      </c>
      <c r="E26" s="10">
        <v>67.0</v>
      </c>
      <c r="F26" s="10">
        <f t="shared" si="3"/>
        <v>134</v>
      </c>
      <c r="G26" s="19" t="s">
        <v>61</v>
      </c>
      <c r="H26" s="5" t="s">
        <v>39</v>
      </c>
      <c r="I26" s="6">
        <v>1.0</v>
      </c>
      <c r="J26" s="5" t="s">
        <v>66</v>
      </c>
      <c r="K26" s="18"/>
      <c r="L26" s="2"/>
    </row>
    <row r="27">
      <c r="A27" s="7">
        <v>22.0</v>
      </c>
      <c r="B27" s="12" t="s">
        <v>67</v>
      </c>
      <c r="C27" s="9">
        <v>17.0</v>
      </c>
      <c r="D27" s="10">
        <v>1845.0</v>
      </c>
      <c r="E27" s="10">
        <v>1362.0</v>
      </c>
      <c r="F27" s="10">
        <f t="shared" si="3"/>
        <v>483</v>
      </c>
      <c r="G27" s="19" t="s">
        <v>61</v>
      </c>
      <c r="H27" s="5" t="s">
        <v>62</v>
      </c>
      <c r="I27" s="6">
        <v>6.0</v>
      </c>
      <c r="J27" s="5" t="s">
        <v>66</v>
      </c>
      <c r="K27" s="18"/>
      <c r="L27" s="2"/>
    </row>
    <row r="28">
      <c r="A28" s="7">
        <v>23.0</v>
      </c>
      <c r="B28" s="12" t="s">
        <v>68</v>
      </c>
      <c r="C28" s="9">
        <v>17.0</v>
      </c>
      <c r="D28" s="10">
        <v>543.0</v>
      </c>
      <c r="E28" s="10">
        <v>407.0</v>
      </c>
      <c r="F28" s="10">
        <f t="shared" si="3"/>
        <v>136</v>
      </c>
      <c r="G28" s="19" t="s">
        <v>61</v>
      </c>
      <c r="H28" s="5" t="s">
        <v>69</v>
      </c>
      <c r="I28" s="6">
        <v>3.0</v>
      </c>
      <c r="J28" s="5" t="s">
        <v>66</v>
      </c>
      <c r="K28" s="18"/>
      <c r="L28" s="2"/>
    </row>
    <row r="29">
      <c r="G29" s="2"/>
      <c r="H29" s="2"/>
      <c r="I29" s="2"/>
      <c r="J29" s="2"/>
      <c r="K29" s="2"/>
      <c r="L29" s="2"/>
    </row>
    <row r="30">
      <c r="G30" s="2"/>
      <c r="H30" s="2"/>
      <c r="I30" s="2"/>
      <c r="J30" s="2"/>
      <c r="K30" s="2"/>
      <c r="L30" s="2"/>
    </row>
    <row r="31">
      <c r="G31" s="2"/>
      <c r="H31" s="2"/>
      <c r="I31" s="2"/>
      <c r="J31" s="2"/>
      <c r="K31" s="2"/>
      <c r="L31" s="2"/>
    </row>
    <row r="32">
      <c r="B32" s="1" t="s">
        <v>70</v>
      </c>
      <c r="G32" s="2"/>
      <c r="H32" s="2"/>
      <c r="I32" s="2"/>
      <c r="J32" s="2"/>
      <c r="K32" s="2"/>
      <c r="L32" s="2"/>
    </row>
    <row r="33">
      <c r="D33" s="1" t="s">
        <v>71</v>
      </c>
      <c r="E33" s="1" t="s">
        <v>72</v>
      </c>
      <c r="F33" s="1" t="s">
        <v>6</v>
      </c>
      <c r="G33" s="2"/>
      <c r="H33" s="2"/>
      <c r="I33" s="2"/>
      <c r="J33" s="2"/>
      <c r="K33" s="2"/>
      <c r="L33" s="2"/>
      <c r="N33" s="21" t="s">
        <v>73</v>
      </c>
      <c r="O33" s="21" t="s">
        <v>74</v>
      </c>
      <c r="P33" s="21" t="s">
        <v>75</v>
      </c>
      <c r="Q33" s="21" t="s">
        <v>76</v>
      </c>
      <c r="R33" s="21" t="s">
        <v>77</v>
      </c>
      <c r="S33" s="21" t="s">
        <v>78</v>
      </c>
      <c r="T33" s="21" t="s">
        <v>79</v>
      </c>
      <c r="U33" s="21" t="s">
        <v>80</v>
      </c>
      <c r="V33" s="21" t="s">
        <v>81</v>
      </c>
      <c r="W33" s="21" t="s">
        <v>82</v>
      </c>
      <c r="X33" s="21" t="s">
        <v>83</v>
      </c>
      <c r="Y33" s="21" t="s">
        <v>84</v>
      </c>
      <c r="Z33" s="21" t="s">
        <v>85</v>
      </c>
      <c r="AA33" s="21" t="s">
        <v>86</v>
      </c>
      <c r="AB33" s="21" t="s">
        <v>87</v>
      </c>
    </row>
    <row r="34">
      <c r="B34" s="12" t="s">
        <v>88</v>
      </c>
      <c r="C34" s="12" t="s">
        <v>89</v>
      </c>
      <c r="D34" s="10">
        <v>9400.0</v>
      </c>
      <c r="E34" s="10">
        <v>8527.0</v>
      </c>
      <c r="F34" s="22">
        <f t="shared" ref="F34:F42" si="4">D34-E34</f>
        <v>873</v>
      </c>
      <c r="G34" s="23" t="s">
        <v>90</v>
      </c>
      <c r="H34" s="2"/>
      <c r="I34" s="2"/>
      <c r="J34" s="2"/>
      <c r="K34" s="2"/>
      <c r="L34" s="2"/>
      <c r="N34" s="21" t="s">
        <v>91</v>
      </c>
      <c r="O34" s="24">
        <v>1.0</v>
      </c>
      <c r="P34" s="24">
        <v>10695.0</v>
      </c>
      <c r="Q34" s="24">
        <v>6043.0</v>
      </c>
      <c r="R34" s="24">
        <v>4652.0</v>
      </c>
      <c r="S34" s="24">
        <v>5.0</v>
      </c>
      <c r="T34" s="21" t="s">
        <v>92</v>
      </c>
      <c r="U34" s="21" t="s">
        <v>61</v>
      </c>
      <c r="V34" s="21" t="s">
        <v>15</v>
      </c>
      <c r="W34" s="21" t="s">
        <v>16</v>
      </c>
      <c r="X34" s="24">
        <v>0.0</v>
      </c>
      <c r="Y34" s="24">
        <v>1.0</v>
      </c>
      <c r="Z34" s="24">
        <v>1.0</v>
      </c>
      <c r="AA34" s="21" t="s">
        <v>93</v>
      </c>
      <c r="AB34" s="24" t="s">
        <v>94</v>
      </c>
    </row>
    <row r="35">
      <c r="B35" s="12" t="s">
        <v>95</v>
      </c>
      <c r="C35" s="12" t="s">
        <v>89</v>
      </c>
      <c r="D35" s="10">
        <v>15912.0</v>
      </c>
      <c r="E35" s="10">
        <v>10490.0</v>
      </c>
      <c r="F35" s="22">
        <f t="shared" si="4"/>
        <v>5422</v>
      </c>
      <c r="G35" s="23" t="s">
        <v>90</v>
      </c>
      <c r="H35" s="2"/>
      <c r="I35" s="2"/>
      <c r="J35" s="2"/>
      <c r="K35" s="2"/>
      <c r="L35" s="2"/>
      <c r="N35" s="21" t="s">
        <v>17</v>
      </c>
      <c r="O35" s="24">
        <v>2.0</v>
      </c>
      <c r="P35" s="24">
        <v>680.0</v>
      </c>
      <c r="Q35" s="24">
        <v>340.0</v>
      </c>
      <c r="R35" s="24">
        <v>340.0</v>
      </c>
      <c r="S35" s="24">
        <v>1.0</v>
      </c>
      <c r="T35" s="21" t="s">
        <v>96</v>
      </c>
      <c r="U35" s="21" t="s">
        <v>61</v>
      </c>
      <c r="V35" s="21" t="s">
        <v>97</v>
      </c>
      <c r="W35" s="21" t="s">
        <v>98</v>
      </c>
      <c r="X35" s="24">
        <v>0.0</v>
      </c>
      <c r="Y35" s="24">
        <v>0.0</v>
      </c>
      <c r="Z35" s="24">
        <v>0.0</v>
      </c>
      <c r="AA35" s="21" t="s">
        <v>99</v>
      </c>
      <c r="AB35" s="24">
        <v>340.0</v>
      </c>
    </row>
    <row r="36">
      <c r="B36" s="12" t="s">
        <v>100</v>
      </c>
      <c r="C36" s="12" t="s">
        <v>101</v>
      </c>
      <c r="D36" s="10">
        <v>544.0</v>
      </c>
      <c r="E36" s="10">
        <v>226.0</v>
      </c>
      <c r="F36" s="22">
        <f t="shared" si="4"/>
        <v>318</v>
      </c>
      <c r="G36" s="25" t="s">
        <v>102</v>
      </c>
      <c r="H36" s="2"/>
      <c r="I36" s="2"/>
      <c r="J36" s="2"/>
      <c r="K36" s="2"/>
      <c r="L36" s="2"/>
      <c r="N36" s="21" t="s">
        <v>103</v>
      </c>
      <c r="O36" s="24">
        <v>3.0</v>
      </c>
      <c r="P36" s="24">
        <v>1362.0</v>
      </c>
      <c r="Q36" s="24">
        <v>0.0</v>
      </c>
      <c r="R36" s="24">
        <v>1362.0</v>
      </c>
      <c r="S36" s="24">
        <v>3.0</v>
      </c>
      <c r="T36" s="21" t="s">
        <v>104</v>
      </c>
      <c r="U36" s="21" t="s">
        <v>61</v>
      </c>
      <c r="V36" s="21" t="s">
        <v>23</v>
      </c>
      <c r="W36" s="21" t="s">
        <v>105</v>
      </c>
      <c r="X36" s="24">
        <v>1.0</v>
      </c>
      <c r="Y36" s="24">
        <v>1.0</v>
      </c>
      <c r="Z36" s="24">
        <v>2.0</v>
      </c>
      <c r="AA36" s="21" t="s">
        <v>93</v>
      </c>
      <c r="AB36" s="24">
        <v>454.0</v>
      </c>
    </row>
    <row r="37">
      <c r="B37" s="12" t="s">
        <v>106</v>
      </c>
      <c r="C37" s="12" t="s">
        <v>101</v>
      </c>
      <c r="D37" s="10">
        <v>3888.0</v>
      </c>
      <c r="E37" s="10">
        <v>2182.0</v>
      </c>
      <c r="F37" s="22">
        <f t="shared" si="4"/>
        <v>1706</v>
      </c>
      <c r="G37" s="25" t="s">
        <v>102</v>
      </c>
      <c r="H37" s="2"/>
      <c r="I37" s="2"/>
      <c r="J37" s="2"/>
      <c r="K37" s="2"/>
      <c r="L37" s="2"/>
      <c r="N37" s="21" t="s">
        <v>107</v>
      </c>
      <c r="O37" s="24">
        <v>4.0</v>
      </c>
      <c r="P37" s="24">
        <v>149.0</v>
      </c>
      <c r="Q37" s="24">
        <v>0.0</v>
      </c>
      <c r="R37" s="24">
        <v>149.0</v>
      </c>
      <c r="S37" s="24">
        <v>1.0</v>
      </c>
      <c r="T37" s="21" t="s">
        <v>96</v>
      </c>
      <c r="U37" s="21" t="s">
        <v>108</v>
      </c>
      <c r="V37" s="21" t="s">
        <v>109</v>
      </c>
      <c r="W37" s="21" t="s">
        <v>110</v>
      </c>
      <c r="X37" s="24">
        <v>1.0</v>
      </c>
      <c r="Y37" s="24">
        <v>1.0</v>
      </c>
      <c r="Z37" s="24">
        <v>2.0</v>
      </c>
      <c r="AA37" s="21" t="s">
        <v>99</v>
      </c>
      <c r="AB37" s="24">
        <v>149.0</v>
      </c>
    </row>
    <row r="38">
      <c r="B38" s="12" t="s">
        <v>111</v>
      </c>
      <c r="C38" s="12" t="s">
        <v>101</v>
      </c>
      <c r="D38" s="10">
        <v>953.0</v>
      </c>
      <c r="E38" s="10">
        <v>488.0</v>
      </c>
      <c r="F38" s="22">
        <f t="shared" si="4"/>
        <v>465</v>
      </c>
      <c r="G38" s="25" t="s">
        <v>102</v>
      </c>
      <c r="H38" s="2"/>
      <c r="I38" s="2"/>
      <c r="J38" s="2"/>
      <c r="K38" s="2"/>
      <c r="L38" s="2"/>
      <c r="N38" s="21" t="s">
        <v>103</v>
      </c>
      <c r="O38" s="24">
        <v>5.0</v>
      </c>
      <c r="P38" s="24">
        <v>11000.0</v>
      </c>
      <c r="Q38" s="26">
        <v>2092567.0</v>
      </c>
      <c r="R38" s="26">
        <v>537060.0</v>
      </c>
      <c r="S38" s="24">
        <v>66.0</v>
      </c>
      <c r="T38" s="21" t="s">
        <v>112</v>
      </c>
      <c r="U38" s="21" t="s">
        <v>61</v>
      </c>
      <c r="V38" s="21" t="s">
        <v>113</v>
      </c>
      <c r="W38" s="21" t="s">
        <v>114</v>
      </c>
      <c r="X38" s="24">
        <v>2.0</v>
      </c>
      <c r="Y38" s="24">
        <v>1.0</v>
      </c>
      <c r="Z38" s="24">
        <v>3.0</v>
      </c>
      <c r="AA38" s="21" t="s">
        <v>115</v>
      </c>
      <c r="AB38" s="24" t="s">
        <v>116</v>
      </c>
    </row>
    <row r="39">
      <c r="B39" s="12" t="s">
        <v>65</v>
      </c>
      <c r="C39" s="12" t="s">
        <v>101</v>
      </c>
      <c r="D39" s="10">
        <v>136.0</v>
      </c>
      <c r="E39" s="10">
        <v>0.0</v>
      </c>
      <c r="F39" s="10">
        <f t="shared" si="4"/>
        <v>136</v>
      </c>
      <c r="G39" s="25" t="s">
        <v>102</v>
      </c>
      <c r="H39" s="2"/>
      <c r="I39" s="2"/>
      <c r="J39" s="2"/>
      <c r="K39" s="2"/>
      <c r="L39" s="2"/>
      <c r="N39" s="21" t="s">
        <v>117</v>
      </c>
      <c r="O39" s="24">
        <v>6.0</v>
      </c>
      <c r="P39" s="24">
        <v>5309.0</v>
      </c>
      <c r="Q39" s="24">
        <v>3178.0</v>
      </c>
      <c r="R39" s="24">
        <v>2131.0</v>
      </c>
      <c r="S39" s="24">
        <v>5.0</v>
      </c>
      <c r="T39" s="21" t="s">
        <v>35</v>
      </c>
      <c r="U39" s="21" t="s">
        <v>61</v>
      </c>
      <c r="V39" s="21" t="s">
        <v>118</v>
      </c>
      <c r="W39" s="21" t="s">
        <v>119</v>
      </c>
      <c r="X39" s="24">
        <v>0.0</v>
      </c>
      <c r="Y39" s="24">
        <v>0.0</v>
      </c>
      <c r="Z39" s="24">
        <v>0.0</v>
      </c>
      <c r="AA39" s="21" t="s">
        <v>93</v>
      </c>
      <c r="AB39" s="24" t="s">
        <v>120</v>
      </c>
    </row>
    <row r="40">
      <c r="B40" s="12" t="s">
        <v>65</v>
      </c>
      <c r="C40" s="12" t="s">
        <v>101</v>
      </c>
      <c r="D40" s="10">
        <v>201.0</v>
      </c>
      <c r="E40" s="10">
        <v>67.0</v>
      </c>
      <c r="F40" s="10">
        <f t="shared" si="4"/>
        <v>134</v>
      </c>
      <c r="G40" s="25" t="s">
        <v>102</v>
      </c>
      <c r="H40" s="2"/>
      <c r="I40" s="2"/>
      <c r="J40" s="2"/>
      <c r="K40" s="2"/>
      <c r="L40" s="2"/>
      <c r="N40" s="21" t="s">
        <v>17</v>
      </c>
      <c r="O40" s="24">
        <v>7.0</v>
      </c>
      <c r="P40" s="24">
        <v>569.0</v>
      </c>
      <c r="Q40" s="24">
        <v>327.0</v>
      </c>
      <c r="R40" s="24">
        <v>242.0</v>
      </c>
      <c r="S40" s="24">
        <v>1.0</v>
      </c>
      <c r="T40" s="21" t="s">
        <v>39</v>
      </c>
      <c r="U40" s="21" t="s">
        <v>61</v>
      </c>
      <c r="V40" s="21" t="s">
        <v>40</v>
      </c>
      <c r="W40" s="27"/>
      <c r="X40" s="24">
        <v>0.0</v>
      </c>
      <c r="Y40" s="24">
        <v>0.0</v>
      </c>
      <c r="Z40" s="24">
        <v>0.0</v>
      </c>
      <c r="AA40" s="21" t="s">
        <v>99</v>
      </c>
      <c r="AB40" s="24">
        <v>242.0</v>
      </c>
    </row>
    <row r="41">
      <c r="B41" s="12" t="s">
        <v>67</v>
      </c>
      <c r="C41" s="12" t="s">
        <v>101</v>
      </c>
      <c r="D41" s="10">
        <v>1845.0</v>
      </c>
      <c r="E41" s="10">
        <v>1362.0</v>
      </c>
      <c r="F41" s="10">
        <f t="shared" si="4"/>
        <v>483</v>
      </c>
      <c r="G41" s="25" t="s">
        <v>102</v>
      </c>
      <c r="H41" s="2"/>
      <c r="I41" s="2"/>
      <c r="J41" s="2"/>
      <c r="K41" s="2"/>
      <c r="L41" s="2"/>
      <c r="N41" s="21" t="s">
        <v>17</v>
      </c>
      <c r="O41" s="24">
        <v>7.0</v>
      </c>
      <c r="P41" s="24">
        <v>569.0</v>
      </c>
      <c r="Q41" s="24">
        <v>327.0</v>
      </c>
      <c r="R41" s="24">
        <v>242.0</v>
      </c>
      <c r="S41" s="24">
        <v>1.0</v>
      </c>
      <c r="T41" s="21" t="s">
        <v>39</v>
      </c>
      <c r="U41" s="21" t="s">
        <v>61</v>
      </c>
      <c r="V41" s="21" t="s">
        <v>40</v>
      </c>
      <c r="W41" s="27"/>
      <c r="X41" s="24">
        <v>0.0</v>
      </c>
      <c r="Y41" s="24">
        <v>0.0</v>
      </c>
      <c r="Z41" s="24">
        <v>0.0</v>
      </c>
      <c r="AA41" s="21" t="s">
        <v>99</v>
      </c>
      <c r="AB41" s="24">
        <v>242.0</v>
      </c>
    </row>
    <row r="42">
      <c r="B42" s="12" t="s">
        <v>68</v>
      </c>
      <c r="C42" s="12" t="s">
        <v>101</v>
      </c>
      <c r="D42" s="10">
        <v>543.0</v>
      </c>
      <c r="E42" s="10">
        <v>407.0</v>
      </c>
      <c r="F42" s="10">
        <f t="shared" si="4"/>
        <v>136</v>
      </c>
      <c r="G42" s="25" t="s">
        <v>102</v>
      </c>
      <c r="H42" s="2"/>
      <c r="I42" s="2"/>
      <c r="J42" s="2"/>
      <c r="K42" s="2"/>
      <c r="L42" s="2"/>
      <c r="N42" s="21" t="s">
        <v>17</v>
      </c>
      <c r="O42" s="24">
        <v>7.0</v>
      </c>
      <c r="P42" s="24">
        <v>871.0</v>
      </c>
      <c r="Q42" s="24">
        <v>681.0</v>
      </c>
      <c r="R42" s="24">
        <v>190.0</v>
      </c>
      <c r="S42" s="24">
        <v>1.0</v>
      </c>
      <c r="T42" s="21" t="s">
        <v>39</v>
      </c>
      <c r="U42" s="21" t="s">
        <v>61</v>
      </c>
      <c r="V42" s="21" t="s">
        <v>40</v>
      </c>
      <c r="W42" s="27"/>
      <c r="X42" s="24">
        <v>0.0</v>
      </c>
      <c r="Y42" s="24">
        <v>0.0</v>
      </c>
      <c r="Z42" s="24">
        <v>0.0</v>
      </c>
      <c r="AA42" s="21" t="s">
        <v>99</v>
      </c>
      <c r="AB42" s="24">
        <v>190.0</v>
      </c>
    </row>
    <row r="43">
      <c r="F43" s="22">
        <f>SUM(F33:F42)</f>
        <v>9673</v>
      </c>
      <c r="G43" s="2"/>
      <c r="H43" s="2"/>
      <c r="I43" s="2"/>
      <c r="J43" s="2"/>
      <c r="K43" s="2"/>
      <c r="L43" s="2"/>
      <c r="N43" s="21" t="s">
        <v>17</v>
      </c>
      <c r="O43" s="24">
        <v>8.0</v>
      </c>
      <c r="P43" s="24">
        <v>569.0</v>
      </c>
      <c r="Q43" s="24">
        <v>339.0</v>
      </c>
      <c r="R43" s="24">
        <v>230.0</v>
      </c>
      <c r="S43" s="24">
        <v>1.0</v>
      </c>
      <c r="T43" s="21" t="s">
        <v>39</v>
      </c>
      <c r="U43" s="21" t="s">
        <v>61</v>
      </c>
      <c r="V43" s="21" t="s">
        <v>40</v>
      </c>
      <c r="W43" s="27"/>
      <c r="X43" s="24">
        <v>0.0</v>
      </c>
      <c r="Y43" s="24">
        <v>0.0</v>
      </c>
      <c r="Z43" s="24">
        <v>0.0</v>
      </c>
      <c r="AA43" s="21" t="s">
        <v>99</v>
      </c>
      <c r="AB43" s="24">
        <v>230.0</v>
      </c>
    </row>
    <row r="44">
      <c r="B44" s="1" t="s">
        <v>121</v>
      </c>
      <c r="G44" s="2"/>
      <c r="H44" s="2"/>
      <c r="I44" s="2"/>
      <c r="J44" s="2"/>
      <c r="K44" s="2"/>
      <c r="L44" s="2"/>
      <c r="N44" s="21" t="s">
        <v>122</v>
      </c>
      <c r="O44" s="24">
        <v>9.0</v>
      </c>
      <c r="P44" s="24">
        <v>6830.0</v>
      </c>
      <c r="Q44" s="24">
        <v>4098.0</v>
      </c>
      <c r="R44" s="24">
        <v>2732.0</v>
      </c>
      <c r="S44" s="24">
        <v>44.0</v>
      </c>
      <c r="T44" s="21" t="s">
        <v>123</v>
      </c>
      <c r="U44" s="21" t="s">
        <v>124</v>
      </c>
      <c r="V44" s="21" t="s">
        <v>40</v>
      </c>
      <c r="W44" s="21" t="s">
        <v>125</v>
      </c>
      <c r="X44" s="24">
        <v>3.0</v>
      </c>
      <c r="Y44" s="24">
        <v>3.0</v>
      </c>
      <c r="Z44" s="24">
        <v>6.0</v>
      </c>
      <c r="AA44" s="21" t="s">
        <v>99</v>
      </c>
      <c r="AB44" s="24" t="s">
        <v>126</v>
      </c>
    </row>
    <row r="45">
      <c r="G45" s="2"/>
      <c r="H45" s="2"/>
      <c r="I45" s="2"/>
      <c r="J45" s="2"/>
      <c r="K45" s="2"/>
      <c r="L45" s="2"/>
      <c r="N45" s="21" t="s">
        <v>127</v>
      </c>
      <c r="O45" s="24">
        <v>10.0</v>
      </c>
      <c r="P45" s="24">
        <v>544.0</v>
      </c>
      <c r="Q45" s="24">
        <v>133.0</v>
      </c>
      <c r="R45" s="24">
        <v>411.0</v>
      </c>
      <c r="S45" s="24">
        <v>1.0</v>
      </c>
      <c r="T45" s="21" t="s">
        <v>39</v>
      </c>
      <c r="U45" s="21" t="s">
        <v>61</v>
      </c>
      <c r="V45" s="21" t="s">
        <v>40</v>
      </c>
      <c r="W45" s="21" t="s">
        <v>128</v>
      </c>
      <c r="X45" s="24">
        <v>0.0</v>
      </c>
      <c r="Y45" s="24">
        <v>1.0</v>
      </c>
      <c r="Z45" s="24">
        <v>1.0</v>
      </c>
      <c r="AA45" s="21" t="s">
        <v>99</v>
      </c>
      <c r="AB45" s="24">
        <v>411.0</v>
      </c>
    </row>
    <row r="46">
      <c r="B46" s="12" t="s">
        <v>55</v>
      </c>
      <c r="C46" s="12" t="s">
        <v>89</v>
      </c>
      <c r="D46" s="10">
        <v>2660.0</v>
      </c>
      <c r="E46" s="10">
        <v>1486.0</v>
      </c>
      <c r="F46" s="22">
        <f t="shared" ref="F46:F49" si="5">D46-E46</f>
        <v>1174</v>
      </c>
      <c r="G46" s="2"/>
      <c r="H46" s="2"/>
      <c r="I46" s="2"/>
      <c r="J46" s="2"/>
      <c r="K46" s="2"/>
      <c r="L46" s="2"/>
      <c r="N46" s="21" t="s">
        <v>129</v>
      </c>
      <c r="O46" s="24">
        <v>11.0</v>
      </c>
      <c r="P46" s="24">
        <v>1000.0</v>
      </c>
      <c r="Q46" s="24">
        <v>0.0</v>
      </c>
      <c r="R46" s="24">
        <v>1000.0</v>
      </c>
      <c r="S46" s="24">
        <v>22.0</v>
      </c>
      <c r="T46" s="21" t="s">
        <v>48</v>
      </c>
      <c r="U46" s="21" t="s">
        <v>61</v>
      </c>
      <c r="V46" s="21" t="s">
        <v>49</v>
      </c>
      <c r="W46" s="21" t="s">
        <v>130</v>
      </c>
      <c r="X46" s="24">
        <v>2.0</v>
      </c>
      <c r="Y46" s="24">
        <v>2.0</v>
      </c>
      <c r="Z46" s="24">
        <v>4.0</v>
      </c>
      <c r="AA46" s="21" t="s">
        <v>99</v>
      </c>
      <c r="AB46" s="24" t="s">
        <v>131</v>
      </c>
    </row>
    <row r="47">
      <c r="B47" s="12" t="s">
        <v>132</v>
      </c>
      <c r="C47" s="12" t="s">
        <v>133</v>
      </c>
      <c r="D47" s="10">
        <v>2316.0</v>
      </c>
      <c r="E47" s="10">
        <v>1226.0</v>
      </c>
      <c r="F47" s="22">
        <f t="shared" si="5"/>
        <v>1090</v>
      </c>
      <c r="G47" s="2"/>
      <c r="H47" s="2"/>
      <c r="I47" s="2"/>
      <c r="J47" s="2"/>
      <c r="K47" s="2"/>
      <c r="L47" s="2"/>
      <c r="N47" s="21" t="s">
        <v>134</v>
      </c>
      <c r="O47" s="24">
        <v>12.0</v>
      </c>
      <c r="P47" s="24">
        <v>2316.0</v>
      </c>
      <c r="Q47" s="24">
        <v>1144.0</v>
      </c>
      <c r="R47" s="24">
        <v>1172.0</v>
      </c>
      <c r="S47" s="24">
        <v>2.0</v>
      </c>
      <c r="T47" s="21" t="s">
        <v>56</v>
      </c>
      <c r="U47" s="21" t="s">
        <v>61</v>
      </c>
      <c r="V47" s="21" t="s">
        <v>135</v>
      </c>
      <c r="W47" s="27"/>
      <c r="X47" s="24">
        <v>0.0</v>
      </c>
      <c r="Y47" s="24">
        <v>0.0</v>
      </c>
      <c r="Z47" s="24">
        <v>0.0</v>
      </c>
      <c r="AA47" s="21" t="s">
        <v>93</v>
      </c>
      <c r="AB47" s="24">
        <v>586.0</v>
      </c>
    </row>
    <row r="48">
      <c r="B48" s="12" t="s">
        <v>55</v>
      </c>
      <c r="C48" s="12" t="s">
        <v>133</v>
      </c>
      <c r="D48" s="10">
        <v>2316.0</v>
      </c>
      <c r="E48" s="10">
        <v>1144.0</v>
      </c>
      <c r="F48" s="22">
        <f t="shared" si="5"/>
        <v>1172</v>
      </c>
      <c r="G48" s="2"/>
      <c r="H48" s="2"/>
      <c r="I48" s="2"/>
      <c r="J48" s="2"/>
      <c r="K48" s="2"/>
      <c r="L48" s="2"/>
      <c r="N48" s="21" t="s">
        <v>103</v>
      </c>
      <c r="O48" s="24">
        <v>12.0</v>
      </c>
      <c r="P48" s="24">
        <v>2316.0</v>
      </c>
      <c r="Q48" s="24">
        <v>1226.0</v>
      </c>
      <c r="R48" s="24">
        <v>1090.0</v>
      </c>
      <c r="S48" s="24">
        <v>5.0</v>
      </c>
      <c r="T48" s="21" t="s">
        <v>35</v>
      </c>
      <c r="U48" s="21" t="s">
        <v>61</v>
      </c>
      <c r="V48" s="21" t="s">
        <v>135</v>
      </c>
      <c r="W48" s="21" t="s">
        <v>53</v>
      </c>
      <c r="X48" s="24">
        <v>1.0</v>
      </c>
      <c r="Y48" s="24">
        <v>0.0</v>
      </c>
      <c r="Z48" s="24">
        <v>1.0</v>
      </c>
      <c r="AA48" s="21" t="s">
        <v>93</v>
      </c>
      <c r="AB48" s="24">
        <v>218.0</v>
      </c>
    </row>
    <row r="49">
      <c r="B49" s="15" t="s">
        <v>34</v>
      </c>
      <c r="C49" s="15" t="s">
        <v>136</v>
      </c>
      <c r="D49" s="17">
        <v>5309.0</v>
      </c>
      <c r="E49" s="17">
        <v>3178.0</v>
      </c>
      <c r="F49" s="28">
        <f t="shared" si="5"/>
        <v>2131</v>
      </c>
      <c r="G49" s="2"/>
      <c r="H49" s="2"/>
      <c r="I49" s="2"/>
      <c r="J49" s="2"/>
      <c r="K49" s="2"/>
      <c r="L49" s="2"/>
      <c r="N49" s="21" t="s">
        <v>57</v>
      </c>
      <c r="O49" s="24">
        <v>13.0</v>
      </c>
      <c r="P49" s="24">
        <v>681.0</v>
      </c>
      <c r="Q49" s="24">
        <v>326.0</v>
      </c>
      <c r="R49" s="24">
        <v>355.0</v>
      </c>
      <c r="S49" s="24">
        <v>1.0</v>
      </c>
      <c r="T49" s="21" t="s">
        <v>39</v>
      </c>
      <c r="U49" s="21" t="s">
        <v>137</v>
      </c>
      <c r="V49" s="27"/>
      <c r="W49" s="21" t="s">
        <v>59</v>
      </c>
      <c r="X49" s="24">
        <v>0.0</v>
      </c>
      <c r="Y49" s="24">
        <v>0.0</v>
      </c>
      <c r="Z49" s="24">
        <v>0.0</v>
      </c>
      <c r="AA49" s="21" t="s">
        <v>99</v>
      </c>
      <c r="AB49" s="24">
        <v>355.0</v>
      </c>
    </row>
    <row r="50">
      <c r="F50" s="22">
        <f>SUM(F46:F49)</f>
        <v>5567</v>
      </c>
      <c r="G50" s="2"/>
      <c r="H50" s="2"/>
      <c r="I50" s="2"/>
      <c r="J50" s="2"/>
      <c r="K50" s="2"/>
      <c r="L50" s="2"/>
      <c r="N50" s="21" t="s">
        <v>57</v>
      </c>
      <c r="O50" s="24">
        <v>14.0</v>
      </c>
      <c r="P50" s="24">
        <v>681.0</v>
      </c>
      <c r="Q50" s="24">
        <v>326.0</v>
      </c>
      <c r="R50" s="24">
        <v>355.0</v>
      </c>
      <c r="S50" s="24">
        <v>1.0</v>
      </c>
      <c r="T50" s="21" t="s">
        <v>39</v>
      </c>
      <c r="U50" s="21" t="s">
        <v>137</v>
      </c>
      <c r="V50" s="27"/>
      <c r="W50" s="21" t="s">
        <v>59</v>
      </c>
      <c r="X50" s="24">
        <v>0.0</v>
      </c>
      <c r="Y50" s="24">
        <v>0.0</v>
      </c>
      <c r="Z50" s="24">
        <v>0.0</v>
      </c>
      <c r="AA50" s="21" t="s">
        <v>99</v>
      </c>
      <c r="AB50" s="24">
        <v>355.0</v>
      </c>
    </row>
    <row r="51">
      <c r="B51" s="1" t="s">
        <v>138</v>
      </c>
      <c r="C51" s="29">
        <f>F43+F50</f>
        <v>15240</v>
      </c>
      <c r="G51" s="2"/>
      <c r="H51" s="2"/>
      <c r="I51" s="2"/>
      <c r="J51" s="2"/>
      <c r="K51" s="2"/>
      <c r="L51" s="2"/>
      <c r="N51" s="21" t="s">
        <v>103</v>
      </c>
      <c r="O51" s="24">
        <v>15.0</v>
      </c>
      <c r="P51" s="24">
        <v>5300.0</v>
      </c>
      <c r="Q51" s="24">
        <v>3000.0</v>
      </c>
      <c r="R51" s="24">
        <v>2300.0</v>
      </c>
      <c r="S51" s="24">
        <v>4.0</v>
      </c>
      <c r="T51" s="21" t="s">
        <v>62</v>
      </c>
      <c r="U51" s="21" t="s">
        <v>61</v>
      </c>
      <c r="V51" s="21" t="s">
        <v>139</v>
      </c>
      <c r="X51" s="24">
        <v>1.0</v>
      </c>
      <c r="Y51" s="24">
        <v>0.0</v>
      </c>
      <c r="Z51" s="24">
        <v>1.0</v>
      </c>
      <c r="AA51" s="21" t="s">
        <v>93</v>
      </c>
      <c r="AB51" s="24">
        <v>575.0</v>
      </c>
    </row>
    <row r="52">
      <c r="G52" s="2"/>
      <c r="H52" s="2"/>
      <c r="I52" s="2"/>
      <c r="J52" s="2"/>
      <c r="K52" s="2"/>
      <c r="L52" s="2"/>
      <c r="N52" s="21" t="s">
        <v>140</v>
      </c>
      <c r="O52" s="24">
        <v>16.0</v>
      </c>
      <c r="P52" s="24">
        <v>2495.0</v>
      </c>
      <c r="Q52" s="24">
        <v>1285.0</v>
      </c>
      <c r="R52" s="24">
        <v>1210.0</v>
      </c>
      <c r="S52" s="27"/>
      <c r="T52" s="27"/>
      <c r="U52" s="21" t="s">
        <v>137</v>
      </c>
      <c r="V52" s="27"/>
      <c r="W52" s="27"/>
      <c r="X52" s="24">
        <v>0.0</v>
      </c>
      <c r="Y52" s="24">
        <v>0.0</v>
      </c>
      <c r="Z52" s="24">
        <v>0.0</v>
      </c>
      <c r="AA52" s="21" t="s">
        <v>115</v>
      </c>
    </row>
    <row r="53">
      <c r="B53" s="1" t="s">
        <v>141</v>
      </c>
      <c r="G53" s="2"/>
      <c r="H53" s="2"/>
      <c r="I53" s="2"/>
      <c r="J53" s="2"/>
      <c r="K53" s="2"/>
      <c r="L53" s="2"/>
      <c r="N53" s="21" t="s">
        <v>142</v>
      </c>
      <c r="O53" s="24">
        <v>17.0</v>
      </c>
      <c r="P53" s="24">
        <v>136.0</v>
      </c>
      <c r="Q53" s="24">
        <v>0.0</v>
      </c>
      <c r="R53" s="24">
        <v>136.0</v>
      </c>
      <c r="S53" s="24">
        <v>1.0</v>
      </c>
      <c r="T53" s="21" t="s">
        <v>39</v>
      </c>
      <c r="U53" s="21" t="s">
        <v>61</v>
      </c>
      <c r="V53" s="27"/>
      <c r="W53" s="21" t="s">
        <v>66</v>
      </c>
      <c r="X53" s="24">
        <v>2.0</v>
      </c>
      <c r="Y53" s="24">
        <v>0.0</v>
      </c>
      <c r="Z53" s="24">
        <v>2.0</v>
      </c>
      <c r="AA53" s="21" t="s">
        <v>99</v>
      </c>
      <c r="AB53" s="24">
        <v>136.0</v>
      </c>
    </row>
    <row r="54">
      <c r="G54" s="2"/>
      <c r="H54" s="2"/>
      <c r="I54" s="2"/>
      <c r="J54" s="2"/>
      <c r="K54" s="2"/>
      <c r="L54" s="2"/>
      <c r="N54" s="21" t="s">
        <v>142</v>
      </c>
      <c r="O54" s="24">
        <v>17.0</v>
      </c>
      <c r="P54" s="24">
        <v>201.0</v>
      </c>
      <c r="Q54" s="24">
        <v>67.0</v>
      </c>
      <c r="R54" s="24">
        <v>134.0</v>
      </c>
      <c r="S54" s="24">
        <v>1.0</v>
      </c>
      <c r="T54" s="21" t="s">
        <v>39</v>
      </c>
      <c r="U54" s="21" t="s">
        <v>61</v>
      </c>
      <c r="V54" s="27"/>
      <c r="W54" s="21" t="s">
        <v>66</v>
      </c>
      <c r="X54" s="24">
        <v>2.0</v>
      </c>
      <c r="Y54" s="24">
        <v>0.0</v>
      </c>
      <c r="Z54" s="24">
        <v>2.0</v>
      </c>
      <c r="AA54" s="21" t="s">
        <v>99</v>
      </c>
      <c r="AB54" s="24">
        <v>134.0</v>
      </c>
    </row>
    <row r="55">
      <c r="B55" s="12" t="s">
        <v>143</v>
      </c>
      <c r="C55" s="12" t="s">
        <v>144</v>
      </c>
      <c r="D55" s="10">
        <v>6008.0</v>
      </c>
      <c r="E55" s="10">
        <v>3236.0</v>
      </c>
      <c r="F55" s="22">
        <f t="shared" ref="F55:F60" si="6">D55-E55</f>
        <v>2772</v>
      </c>
      <c r="G55" s="23" t="s">
        <v>90</v>
      </c>
      <c r="H55" s="2"/>
      <c r="I55" s="2"/>
      <c r="J55" s="2"/>
      <c r="K55" s="2"/>
      <c r="L55" s="2"/>
      <c r="N55" s="21" t="s">
        <v>145</v>
      </c>
      <c r="O55" s="24">
        <v>17.0</v>
      </c>
      <c r="P55" s="24">
        <v>543.0</v>
      </c>
      <c r="Q55" s="24">
        <v>407.0</v>
      </c>
      <c r="R55" s="24">
        <v>136.0</v>
      </c>
      <c r="S55" s="24">
        <v>2.0</v>
      </c>
      <c r="T55" s="21" t="s">
        <v>56</v>
      </c>
      <c r="U55" s="21" t="s">
        <v>61</v>
      </c>
      <c r="V55" s="27"/>
      <c r="W55" s="21" t="s">
        <v>66</v>
      </c>
      <c r="X55" s="24">
        <v>1.0</v>
      </c>
      <c r="Y55" s="24">
        <v>0.0</v>
      </c>
      <c r="Z55" s="24">
        <v>1.0</v>
      </c>
      <c r="AA55" s="21" t="s">
        <v>99</v>
      </c>
      <c r="AB55" s="24">
        <v>68.0</v>
      </c>
    </row>
    <row r="56">
      <c r="B56" s="12" t="s">
        <v>146</v>
      </c>
      <c r="C56" s="12" t="s">
        <v>147</v>
      </c>
      <c r="D56" s="10">
        <v>10706.0</v>
      </c>
      <c r="E56" s="10">
        <v>7628.0</v>
      </c>
      <c r="F56" s="22">
        <f t="shared" si="6"/>
        <v>3078</v>
      </c>
      <c r="G56" s="23" t="s">
        <v>90</v>
      </c>
      <c r="H56" s="2"/>
      <c r="I56" s="2"/>
      <c r="J56" s="2"/>
      <c r="K56" s="2"/>
      <c r="L56" s="2"/>
      <c r="N56" s="21" t="s">
        <v>148</v>
      </c>
      <c r="O56" s="24">
        <v>17.0</v>
      </c>
      <c r="P56" s="24">
        <v>1845.0</v>
      </c>
      <c r="Q56" s="24">
        <v>1362.0</v>
      </c>
      <c r="R56" s="24">
        <v>483.0</v>
      </c>
      <c r="S56" s="24">
        <v>4.0</v>
      </c>
      <c r="T56" s="21" t="s">
        <v>62</v>
      </c>
      <c r="U56" s="21" t="s">
        <v>61</v>
      </c>
      <c r="V56" s="27"/>
      <c r="W56" s="21" t="s">
        <v>66</v>
      </c>
      <c r="X56" s="24">
        <v>1.0</v>
      </c>
      <c r="Y56" s="24">
        <v>0.0</v>
      </c>
      <c r="Z56" s="24">
        <v>1.0</v>
      </c>
      <c r="AA56" s="21" t="s">
        <v>99</v>
      </c>
      <c r="AB56" s="24" t="s">
        <v>149</v>
      </c>
    </row>
    <row r="57">
      <c r="B57" s="12" t="s">
        <v>150</v>
      </c>
      <c r="C57" s="12" t="s">
        <v>147</v>
      </c>
      <c r="D57" s="10">
        <v>783.0</v>
      </c>
      <c r="E57" s="10">
        <v>338.0</v>
      </c>
      <c r="F57" s="22">
        <f t="shared" si="6"/>
        <v>445</v>
      </c>
      <c r="G57" s="25" t="s">
        <v>102</v>
      </c>
      <c r="H57" s="2"/>
      <c r="I57" s="2"/>
      <c r="J57" s="2"/>
      <c r="K57" s="2"/>
      <c r="L57" s="2"/>
    </row>
    <row r="58">
      <c r="B58" s="12" t="s">
        <v>150</v>
      </c>
      <c r="C58" s="12" t="s">
        <v>147</v>
      </c>
      <c r="D58" s="10">
        <v>457.0</v>
      </c>
      <c r="E58" s="10">
        <v>163.0</v>
      </c>
      <c r="F58" s="22">
        <f t="shared" si="6"/>
        <v>294</v>
      </c>
      <c r="G58" s="25" t="s">
        <v>102</v>
      </c>
      <c r="H58" s="2"/>
      <c r="I58" s="2"/>
      <c r="J58" s="2"/>
      <c r="K58" s="2"/>
      <c r="L58" s="2"/>
    </row>
    <row r="59">
      <c r="B59" s="12" t="s">
        <v>151</v>
      </c>
      <c r="C59" s="12" t="s">
        <v>147</v>
      </c>
      <c r="D59" s="10">
        <v>2274.0</v>
      </c>
      <c r="E59" s="10">
        <v>1445.0</v>
      </c>
      <c r="F59" s="22">
        <f t="shared" si="6"/>
        <v>829</v>
      </c>
      <c r="G59" s="25" t="s">
        <v>102</v>
      </c>
      <c r="H59" s="2"/>
      <c r="I59" s="2"/>
      <c r="J59" s="2"/>
      <c r="K59" s="2"/>
      <c r="L59" s="2"/>
    </row>
    <row r="60">
      <c r="B60" s="12" t="s">
        <v>152</v>
      </c>
      <c r="C60" s="12" t="s">
        <v>144</v>
      </c>
      <c r="D60" s="10">
        <v>1859.0</v>
      </c>
      <c r="E60" s="10">
        <v>1235.0</v>
      </c>
      <c r="F60" s="22">
        <f t="shared" si="6"/>
        <v>624</v>
      </c>
      <c r="G60" s="23" t="s">
        <v>90</v>
      </c>
      <c r="H60" s="2"/>
      <c r="I60" s="2"/>
      <c r="J60" s="2"/>
      <c r="K60" s="2"/>
      <c r="L60" s="2"/>
    </row>
    <row r="61">
      <c r="G61" s="2"/>
      <c r="H61" s="2"/>
      <c r="I61" s="2"/>
      <c r="J61" s="2"/>
      <c r="K61" s="2"/>
      <c r="L61" s="2"/>
    </row>
    <row r="62">
      <c r="B62" s="1" t="s">
        <v>153</v>
      </c>
      <c r="G62" s="2"/>
      <c r="H62" s="2"/>
      <c r="I62" s="2"/>
      <c r="J62" s="2"/>
      <c r="K62" s="2"/>
      <c r="L62" s="2"/>
    </row>
    <row r="63">
      <c r="G63" s="2"/>
      <c r="H63" s="2"/>
      <c r="I63" s="2"/>
      <c r="J63" s="2"/>
      <c r="K63" s="2"/>
      <c r="L63" s="2"/>
    </row>
    <row r="64">
      <c r="B64" s="3" t="s">
        <v>154</v>
      </c>
      <c r="G64" s="2"/>
      <c r="H64" s="2"/>
      <c r="I64" s="2"/>
      <c r="J64" s="2"/>
      <c r="K64" s="2"/>
      <c r="L64" s="2"/>
    </row>
    <row r="65">
      <c r="G65" s="2"/>
      <c r="H65" s="2"/>
      <c r="I65" s="2"/>
      <c r="J65" s="2"/>
      <c r="K65" s="2"/>
      <c r="L65" s="2"/>
    </row>
    <row r="66">
      <c r="A66" s="30"/>
      <c r="B66" s="31" t="s">
        <v>155</v>
      </c>
      <c r="D66" s="7" t="s">
        <v>156</v>
      </c>
      <c r="H66" s="32" t="s">
        <v>157</v>
      </c>
      <c r="K66" s="31" t="s">
        <v>158</v>
      </c>
      <c r="M66" s="33" t="s">
        <v>159</v>
      </c>
      <c r="P66" s="33" t="s">
        <v>160</v>
      </c>
      <c r="T66" s="31" t="s">
        <v>161</v>
      </c>
    </row>
    <row r="67">
      <c r="B67" s="3" t="s">
        <v>162</v>
      </c>
      <c r="G67" s="2"/>
      <c r="H67" s="2"/>
      <c r="I67" s="2"/>
      <c r="J67" s="2"/>
      <c r="K67" s="2"/>
      <c r="L67" s="2"/>
    </row>
    <row r="68">
      <c r="B68" s="34" t="s">
        <v>163</v>
      </c>
      <c r="D68" s="1" t="s">
        <v>164</v>
      </c>
      <c r="H68" s="35" t="s">
        <v>165</v>
      </c>
      <c r="K68" s="36" t="s">
        <v>166</v>
      </c>
      <c r="M68" s="34" t="s">
        <v>167</v>
      </c>
      <c r="P68" s="34" t="s">
        <v>168</v>
      </c>
      <c r="T68" s="34" t="s">
        <v>169</v>
      </c>
    </row>
    <row r="69">
      <c r="G69" s="2"/>
      <c r="H69" s="2"/>
      <c r="I69" s="2"/>
      <c r="J69" s="2"/>
      <c r="K69" s="2"/>
      <c r="L69" s="2"/>
    </row>
    <row r="70">
      <c r="G70" s="2"/>
      <c r="H70" s="2"/>
      <c r="I70" s="2"/>
      <c r="J70" s="2"/>
      <c r="K70" s="2"/>
      <c r="L70" s="2"/>
    </row>
    <row r="71">
      <c r="B71" s="3" t="s">
        <v>170</v>
      </c>
      <c r="G71" s="2"/>
      <c r="H71" s="2"/>
      <c r="I71" s="2"/>
      <c r="J71" s="2"/>
      <c r="K71" s="2"/>
      <c r="L71" s="2"/>
    </row>
    <row r="72">
      <c r="G72" s="2"/>
      <c r="H72" s="2"/>
      <c r="I72" s="2"/>
      <c r="J72" s="2"/>
      <c r="K72" s="2"/>
      <c r="L72" s="2"/>
    </row>
    <row r="73">
      <c r="B73" s="37" t="s">
        <v>171</v>
      </c>
      <c r="G73" s="2"/>
      <c r="H73" s="2"/>
      <c r="I73" s="2"/>
      <c r="J73" s="2"/>
      <c r="K73" s="2"/>
      <c r="L73" s="2"/>
    </row>
    <row r="74">
      <c r="G74" s="2"/>
      <c r="H74" s="2"/>
      <c r="I74" s="2"/>
      <c r="J74" s="2"/>
      <c r="K74" s="2"/>
      <c r="L74" s="2"/>
    </row>
    <row r="75">
      <c r="B75" s="38" t="s">
        <v>172</v>
      </c>
      <c r="G75" s="2"/>
      <c r="H75" s="2"/>
      <c r="I75" s="2"/>
      <c r="J75" s="2"/>
      <c r="K75" s="2"/>
      <c r="L75" s="2"/>
    </row>
    <row r="76">
      <c r="G76" s="2"/>
      <c r="H76" s="2"/>
      <c r="I76" s="2"/>
      <c r="J76" s="2"/>
      <c r="K76" s="2"/>
      <c r="L76" s="2"/>
    </row>
    <row r="77">
      <c r="B77" s="39" t="s">
        <v>173</v>
      </c>
      <c r="C77" s="40"/>
      <c r="D77" s="40"/>
      <c r="E77" s="40"/>
      <c r="F77" s="40"/>
      <c r="G77" s="2"/>
      <c r="H77" s="2"/>
      <c r="I77" s="2"/>
      <c r="J77" s="2"/>
      <c r="K77" s="2"/>
      <c r="L77" s="2"/>
    </row>
    <row r="78">
      <c r="G78" s="2"/>
      <c r="H78" s="2"/>
      <c r="I78" s="2"/>
      <c r="J78" s="2"/>
      <c r="K78" s="2"/>
      <c r="L78" s="2"/>
    </row>
    <row r="79">
      <c r="G79" s="2"/>
      <c r="H79" s="2"/>
      <c r="I79" s="2"/>
      <c r="J79" s="2"/>
      <c r="K79" s="2"/>
      <c r="L79" s="2"/>
    </row>
    <row r="80" ht="119.25" customHeight="1">
      <c r="B80" s="1" t="s">
        <v>174</v>
      </c>
      <c r="D80" s="1" t="s">
        <v>175</v>
      </c>
      <c r="G80" s="2"/>
      <c r="H80" s="2"/>
      <c r="I80" s="2"/>
      <c r="J80" s="2"/>
      <c r="K80" s="2"/>
      <c r="L80" s="2"/>
    </row>
    <row r="81">
      <c r="G81" s="2"/>
      <c r="H81" s="2"/>
      <c r="I81" s="2"/>
      <c r="J81" s="2"/>
      <c r="K81" s="2"/>
      <c r="L81" s="2"/>
    </row>
    <row r="82">
      <c r="B82" s="3" t="s">
        <v>176</v>
      </c>
      <c r="G82" s="2"/>
      <c r="H82" s="2"/>
      <c r="I82" s="2"/>
      <c r="J82" s="2"/>
      <c r="K82" s="2"/>
      <c r="L82" s="2"/>
    </row>
    <row r="83">
      <c r="G83" s="2"/>
      <c r="H83" s="2"/>
      <c r="I83" s="2"/>
      <c r="J83" s="2"/>
      <c r="K83" s="2"/>
      <c r="L83" s="2"/>
    </row>
    <row r="84">
      <c r="B84" s="1" t="s">
        <v>177</v>
      </c>
      <c r="E84" s="34" t="s">
        <v>178</v>
      </c>
      <c r="H84" s="2"/>
      <c r="I84" s="2"/>
      <c r="J84" s="2"/>
      <c r="K84" s="2"/>
      <c r="L84" s="2"/>
    </row>
    <row r="85">
      <c r="B85" s="1" t="s">
        <v>179</v>
      </c>
      <c r="G85" s="2"/>
      <c r="H85" s="2"/>
      <c r="I85" s="2"/>
      <c r="J85" s="2"/>
      <c r="K85" s="2"/>
      <c r="L85" s="2"/>
    </row>
    <row r="86">
      <c r="B86" s="1" t="s">
        <v>180</v>
      </c>
      <c r="G86" s="2"/>
      <c r="H86" s="2"/>
      <c r="I86" s="2"/>
      <c r="J86" s="2"/>
      <c r="K86" s="2"/>
      <c r="L86" s="2"/>
    </row>
    <row r="87">
      <c r="B87" s="1" t="s">
        <v>181</v>
      </c>
      <c r="G87" s="2"/>
      <c r="H87" s="2"/>
      <c r="I87" s="2"/>
      <c r="J87" s="2"/>
      <c r="K87" s="2"/>
      <c r="L87" s="2"/>
    </row>
    <row r="88">
      <c r="G88" s="2"/>
      <c r="H88" s="2"/>
      <c r="I88" s="2"/>
      <c r="J88" s="2"/>
      <c r="K88" s="2"/>
      <c r="L88" s="2"/>
    </row>
    <row r="89">
      <c r="B89" s="3" t="s">
        <v>182</v>
      </c>
      <c r="G89" s="2"/>
      <c r="H89" s="2"/>
      <c r="I89" s="2"/>
      <c r="J89" s="2"/>
      <c r="K89" s="2"/>
      <c r="L89" s="2"/>
    </row>
    <row r="90">
      <c r="G90" s="2"/>
      <c r="H90" s="2"/>
      <c r="I90" s="2"/>
      <c r="J90" s="2"/>
      <c r="K90" s="2"/>
      <c r="L90" s="2"/>
    </row>
    <row r="91">
      <c r="B91" s="1" t="s">
        <v>183</v>
      </c>
      <c r="G91" s="2"/>
      <c r="H91" s="2"/>
      <c r="I91" s="2"/>
      <c r="J91" s="2"/>
      <c r="K91" s="2"/>
      <c r="L91" s="2"/>
    </row>
    <row r="92">
      <c r="G92" s="2"/>
      <c r="H92" s="2"/>
      <c r="I92" s="2"/>
      <c r="J92" s="2"/>
      <c r="K92" s="2"/>
      <c r="L92" s="2"/>
    </row>
    <row r="93">
      <c r="B93" s="1" t="s">
        <v>184</v>
      </c>
      <c r="D93" s="1" t="s">
        <v>185</v>
      </c>
      <c r="G93" s="2"/>
      <c r="H93" s="2"/>
      <c r="I93" s="2"/>
      <c r="J93" s="2"/>
      <c r="K93" s="2"/>
      <c r="L93" s="2"/>
    </row>
    <row r="94">
      <c r="G94" s="2"/>
      <c r="H94" s="2"/>
      <c r="I94" s="2"/>
      <c r="J94" s="2"/>
      <c r="K94" s="2"/>
      <c r="L94" s="2"/>
    </row>
    <row r="95">
      <c r="B95" s="1" t="s">
        <v>186</v>
      </c>
      <c r="G95" s="2"/>
      <c r="H95" s="2"/>
      <c r="I95" s="2"/>
      <c r="J95" s="2"/>
      <c r="K95" s="2"/>
      <c r="L95" s="2"/>
    </row>
    <row r="96">
      <c r="G96" s="2"/>
      <c r="H96" s="2"/>
      <c r="I96" s="2"/>
      <c r="J96" s="2"/>
      <c r="K96" s="2"/>
      <c r="L96" s="2"/>
    </row>
    <row r="97">
      <c r="B97" s="41" t="s">
        <v>187</v>
      </c>
      <c r="G97" s="2"/>
      <c r="H97" s="2"/>
      <c r="I97" s="2"/>
      <c r="J97" s="2"/>
      <c r="K97" s="2"/>
      <c r="L97" s="2"/>
    </row>
    <row r="98">
      <c r="B98" s="42"/>
      <c r="G98" s="2"/>
      <c r="H98" s="2"/>
      <c r="I98" s="2"/>
      <c r="J98" s="2"/>
      <c r="K98" s="2"/>
      <c r="L98" s="2"/>
    </row>
    <row r="99">
      <c r="B99" s="41" t="s">
        <v>188</v>
      </c>
      <c r="G99" s="2"/>
      <c r="H99" s="2"/>
      <c r="I99" s="2"/>
      <c r="J99" s="2"/>
      <c r="K99" s="2"/>
      <c r="L99" s="2"/>
    </row>
    <row r="100">
      <c r="B100" s="42"/>
      <c r="G100" s="2"/>
      <c r="H100" s="2"/>
      <c r="I100" s="2"/>
      <c r="J100" s="2"/>
      <c r="K100" s="2"/>
      <c r="L100" s="2"/>
    </row>
    <row r="101">
      <c r="B101" s="41" t="s">
        <v>189</v>
      </c>
      <c r="G101" s="2"/>
      <c r="H101" s="2"/>
      <c r="I101" s="2"/>
      <c r="J101" s="2"/>
      <c r="K101" s="2"/>
      <c r="L101" s="2"/>
    </row>
    <row r="102">
      <c r="B102" s="42"/>
      <c r="G102" s="2"/>
      <c r="H102" s="2"/>
      <c r="I102" s="2"/>
      <c r="J102" s="2"/>
      <c r="K102" s="2"/>
      <c r="L102" s="2"/>
    </row>
    <row r="103">
      <c r="B103" s="41" t="s">
        <v>190</v>
      </c>
      <c r="G103" s="2"/>
      <c r="H103" s="2"/>
      <c r="I103" s="2"/>
      <c r="J103" s="2"/>
      <c r="K103" s="2"/>
      <c r="L103" s="2"/>
    </row>
    <row r="104">
      <c r="G104" s="2"/>
      <c r="H104" s="2"/>
      <c r="I104" s="2"/>
      <c r="J104" s="2"/>
      <c r="K104" s="2"/>
      <c r="L104" s="2"/>
    </row>
    <row r="105">
      <c r="B105" s="41" t="s">
        <v>191</v>
      </c>
      <c r="G105" s="2"/>
      <c r="H105" s="2"/>
      <c r="I105" s="2"/>
      <c r="J105" s="2"/>
      <c r="K105" s="2"/>
      <c r="L105" s="2"/>
    </row>
    <row r="106">
      <c r="B106" s="42"/>
      <c r="G106" s="2"/>
      <c r="H106" s="2"/>
      <c r="I106" s="2"/>
      <c r="J106" s="2"/>
      <c r="K106" s="2"/>
      <c r="L106" s="2"/>
    </row>
    <row r="107">
      <c r="B107" s="41" t="s">
        <v>192</v>
      </c>
      <c r="G107" s="2"/>
      <c r="H107" s="2"/>
      <c r="I107" s="2"/>
      <c r="J107" s="2"/>
      <c r="K107" s="2"/>
      <c r="L107" s="2"/>
    </row>
    <row r="108">
      <c r="B108" s="42"/>
      <c r="G108" s="2"/>
      <c r="H108" s="2"/>
      <c r="I108" s="2"/>
      <c r="J108" s="2"/>
      <c r="K108" s="2"/>
      <c r="L108" s="2"/>
    </row>
    <row r="109">
      <c r="B109" s="41" t="s">
        <v>193</v>
      </c>
      <c r="G109" s="2"/>
      <c r="H109" s="2"/>
      <c r="I109" s="2"/>
      <c r="J109" s="2"/>
      <c r="K109" s="2"/>
      <c r="L109" s="2"/>
    </row>
    <row r="110">
      <c r="B110" s="42"/>
      <c r="G110" s="2"/>
      <c r="H110" s="2"/>
      <c r="I110" s="2"/>
      <c r="J110" s="2"/>
      <c r="K110" s="2"/>
      <c r="L110" s="2"/>
    </row>
    <row r="111">
      <c r="B111" s="41" t="s">
        <v>194</v>
      </c>
      <c r="G111" s="2"/>
      <c r="H111" s="2"/>
      <c r="I111" s="2"/>
      <c r="J111" s="2"/>
      <c r="K111" s="2"/>
      <c r="L111" s="2"/>
    </row>
    <row r="112">
      <c r="G112" s="2"/>
      <c r="H112" s="2"/>
      <c r="I112" s="2"/>
      <c r="J112" s="2"/>
      <c r="K112" s="2"/>
      <c r="L112" s="2"/>
    </row>
    <row r="113">
      <c r="B113" s="1" t="s">
        <v>195</v>
      </c>
      <c r="G113" s="2"/>
      <c r="H113" s="2"/>
      <c r="I113" s="2"/>
      <c r="J113" s="2"/>
      <c r="K113" s="2"/>
      <c r="L113" s="2"/>
    </row>
    <row r="114">
      <c r="G114" s="2"/>
      <c r="H114" s="2"/>
      <c r="I114" s="2"/>
      <c r="J114" s="2"/>
      <c r="K114" s="2"/>
      <c r="L114" s="2"/>
    </row>
    <row r="115">
      <c r="B115" s="1" t="s">
        <v>196</v>
      </c>
      <c r="G115" s="2"/>
      <c r="H115" s="2"/>
      <c r="I115" s="2"/>
      <c r="J115" s="2"/>
      <c r="K115" s="2"/>
      <c r="L115" s="2"/>
    </row>
    <row r="116">
      <c r="G116" s="2"/>
      <c r="H116" s="2"/>
      <c r="I116" s="2"/>
      <c r="J116" s="2"/>
      <c r="K116" s="2"/>
      <c r="L116" s="2"/>
    </row>
    <row r="117">
      <c r="G117" s="2"/>
      <c r="H117" s="2"/>
      <c r="I117" s="2"/>
      <c r="J117" s="2"/>
      <c r="K117" s="2"/>
      <c r="L117" s="2"/>
    </row>
    <row r="118">
      <c r="B118" s="1" t="s">
        <v>197</v>
      </c>
      <c r="G118" s="2"/>
      <c r="H118" s="2"/>
      <c r="I118" s="2"/>
      <c r="J118" s="2"/>
      <c r="K118" s="2"/>
      <c r="L118" s="2"/>
    </row>
    <row r="119">
      <c r="G119" s="2"/>
      <c r="H119" s="2"/>
      <c r="I119" s="2"/>
      <c r="J119" s="2"/>
      <c r="K119" s="2"/>
      <c r="L119" s="2"/>
    </row>
    <row r="120">
      <c r="G120" s="2"/>
      <c r="H120" s="2"/>
      <c r="I120" s="2"/>
      <c r="J120" s="2"/>
      <c r="K120" s="2"/>
      <c r="L120" s="2"/>
    </row>
    <row r="121">
      <c r="G121" s="2"/>
      <c r="H121" s="2"/>
      <c r="I121" s="2"/>
      <c r="J121" s="2"/>
      <c r="K121" s="2"/>
      <c r="L121" s="2"/>
    </row>
    <row r="122">
      <c r="G122" s="2"/>
      <c r="H122" s="2"/>
      <c r="I122" s="2"/>
      <c r="J122" s="2"/>
      <c r="K122" s="2"/>
      <c r="L122" s="2"/>
    </row>
    <row r="123">
      <c r="G123" s="2"/>
      <c r="H123" s="2"/>
      <c r="I123" s="2"/>
      <c r="J123" s="2"/>
      <c r="K123" s="2"/>
      <c r="L123" s="2"/>
    </row>
    <row r="124">
      <c r="G124" s="2"/>
      <c r="H124" s="2"/>
      <c r="I124" s="2"/>
      <c r="J124" s="2"/>
      <c r="K124" s="2"/>
      <c r="L124" s="2"/>
    </row>
    <row r="125">
      <c r="G125" s="2"/>
      <c r="H125" s="2"/>
      <c r="I125" s="2"/>
      <c r="J125" s="2"/>
      <c r="K125" s="2"/>
      <c r="L125" s="2"/>
    </row>
    <row r="126">
      <c r="G126" s="2"/>
      <c r="H126" s="2"/>
      <c r="I126" s="2"/>
      <c r="J126" s="2"/>
      <c r="K126" s="2"/>
      <c r="L126" s="2"/>
    </row>
    <row r="127">
      <c r="G127" s="2"/>
      <c r="H127" s="2"/>
      <c r="I127" s="2"/>
      <c r="J127" s="2"/>
      <c r="K127" s="2"/>
      <c r="L127" s="2"/>
    </row>
    <row r="128">
      <c r="G128" s="2"/>
      <c r="H128" s="2"/>
      <c r="I128" s="2"/>
      <c r="J128" s="2"/>
      <c r="K128" s="2"/>
      <c r="L128" s="2"/>
    </row>
    <row r="129">
      <c r="G129" s="2"/>
      <c r="H129" s="2"/>
      <c r="I129" s="2"/>
      <c r="J129" s="2"/>
      <c r="K129" s="2"/>
      <c r="L129" s="2"/>
    </row>
    <row r="130">
      <c r="G130" s="2"/>
      <c r="H130" s="2"/>
      <c r="I130" s="2"/>
      <c r="J130" s="2"/>
      <c r="K130" s="2"/>
      <c r="L130" s="2"/>
    </row>
    <row r="131">
      <c r="G131" s="2"/>
      <c r="H131" s="2"/>
      <c r="I131" s="2"/>
      <c r="J131" s="2"/>
      <c r="K131" s="2"/>
      <c r="L131" s="2"/>
    </row>
    <row r="132">
      <c r="G132" s="2"/>
      <c r="H132" s="2"/>
      <c r="I132" s="2"/>
      <c r="J132" s="2"/>
      <c r="K132" s="2"/>
      <c r="L132" s="2"/>
    </row>
    <row r="133">
      <c r="G133" s="2"/>
      <c r="H133" s="2"/>
      <c r="I133" s="2"/>
      <c r="J133" s="2"/>
      <c r="K133" s="2"/>
      <c r="L133" s="2"/>
    </row>
    <row r="134">
      <c r="G134" s="2"/>
      <c r="H134" s="2"/>
      <c r="I134" s="2"/>
      <c r="J134" s="2"/>
      <c r="K134" s="2"/>
      <c r="L134" s="2"/>
    </row>
    <row r="135">
      <c r="G135" s="2"/>
      <c r="H135" s="2"/>
      <c r="I135" s="2"/>
      <c r="J135" s="2"/>
      <c r="K135" s="2"/>
      <c r="L135" s="2"/>
    </row>
    <row r="136">
      <c r="G136" s="2"/>
      <c r="H136" s="2"/>
      <c r="I136" s="2"/>
      <c r="J136" s="2"/>
      <c r="K136" s="2"/>
      <c r="L136" s="2"/>
    </row>
    <row r="137">
      <c r="G137" s="2"/>
      <c r="H137" s="2"/>
      <c r="I137" s="2"/>
      <c r="J137" s="2"/>
      <c r="K137" s="2"/>
      <c r="L137" s="2"/>
    </row>
    <row r="138">
      <c r="G138" s="2"/>
      <c r="H138" s="2"/>
      <c r="I138" s="2"/>
      <c r="J138" s="2"/>
      <c r="K138" s="2"/>
      <c r="L138" s="2"/>
    </row>
    <row r="139">
      <c r="G139" s="2"/>
      <c r="H139" s="2"/>
      <c r="I139" s="2"/>
      <c r="J139" s="2"/>
      <c r="K139" s="2"/>
      <c r="L139" s="2"/>
    </row>
    <row r="140">
      <c r="G140" s="2"/>
      <c r="H140" s="2"/>
      <c r="I140" s="2"/>
      <c r="J140" s="2"/>
      <c r="K140" s="2"/>
      <c r="L140" s="2"/>
    </row>
    <row r="141">
      <c r="G141" s="2"/>
      <c r="H141" s="2"/>
      <c r="I141" s="2"/>
      <c r="J141" s="2"/>
      <c r="K141" s="2"/>
      <c r="L141" s="2"/>
    </row>
    <row r="142">
      <c r="G142" s="2"/>
      <c r="H142" s="2"/>
      <c r="I142" s="2"/>
      <c r="J142" s="2"/>
      <c r="K142" s="2"/>
      <c r="L142" s="2"/>
    </row>
    <row r="143">
      <c r="G143" s="2"/>
      <c r="H143" s="2"/>
      <c r="I143" s="2"/>
      <c r="J143" s="2"/>
      <c r="K143" s="2"/>
      <c r="L143" s="2"/>
    </row>
    <row r="144">
      <c r="G144" s="2"/>
      <c r="H144" s="2"/>
      <c r="I144" s="2"/>
      <c r="J144" s="2"/>
      <c r="K144" s="2"/>
      <c r="L144" s="2"/>
    </row>
    <row r="145">
      <c r="G145" s="2"/>
      <c r="H145" s="2"/>
      <c r="I145" s="2"/>
      <c r="J145" s="2"/>
      <c r="K145" s="2"/>
      <c r="L145" s="2"/>
    </row>
    <row r="146">
      <c r="G146" s="2"/>
      <c r="H146" s="2"/>
      <c r="I146" s="2"/>
      <c r="J146" s="2"/>
      <c r="K146" s="2"/>
      <c r="L146" s="2"/>
    </row>
    <row r="147">
      <c r="G147" s="2"/>
      <c r="H147" s="2"/>
      <c r="I147" s="2"/>
      <c r="J147" s="2"/>
      <c r="K147" s="2"/>
      <c r="L147" s="2"/>
    </row>
    <row r="148">
      <c r="G148" s="2"/>
      <c r="H148" s="2"/>
      <c r="I148" s="2"/>
      <c r="J148" s="2"/>
      <c r="K148" s="2"/>
      <c r="L148" s="2"/>
    </row>
    <row r="149">
      <c r="G149" s="2"/>
      <c r="H149" s="2"/>
      <c r="I149" s="2"/>
      <c r="J149" s="2"/>
      <c r="K149" s="2"/>
      <c r="L149" s="2"/>
    </row>
    <row r="150">
      <c r="G150" s="2"/>
      <c r="H150" s="2"/>
      <c r="I150" s="2"/>
      <c r="J150" s="2"/>
      <c r="K150" s="2"/>
      <c r="L150" s="2"/>
    </row>
    <row r="151">
      <c r="G151" s="2"/>
      <c r="H151" s="2"/>
      <c r="I151" s="2"/>
      <c r="J151" s="2"/>
      <c r="K151" s="2"/>
      <c r="L151" s="2"/>
    </row>
    <row r="152">
      <c r="G152" s="2"/>
      <c r="H152" s="2"/>
      <c r="I152" s="2"/>
      <c r="J152" s="2"/>
      <c r="K152" s="2"/>
      <c r="L152" s="2"/>
    </row>
    <row r="153">
      <c r="G153" s="2"/>
      <c r="H153" s="2"/>
      <c r="I153" s="2"/>
      <c r="J153" s="2"/>
      <c r="K153" s="2"/>
      <c r="L153" s="2"/>
    </row>
    <row r="154">
      <c r="G154" s="2"/>
      <c r="H154" s="2"/>
      <c r="I154" s="2"/>
      <c r="J154" s="2"/>
      <c r="K154" s="2"/>
      <c r="L154" s="2"/>
    </row>
    <row r="155">
      <c r="G155" s="2"/>
      <c r="H155" s="2"/>
      <c r="I155" s="2"/>
      <c r="J155" s="2"/>
      <c r="K155" s="2"/>
      <c r="L155" s="2"/>
    </row>
    <row r="156">
      <c r="G156" s="2"/>
      <c r="H156" s="2"/>
      <c r="I156" s="2"/>
      <c r="J156" s="2"/>
      <c r="K156" s="2"/>
      <c r="L156" s="2"/>
    </row>
    <row r="157">
      <c r="G157" s="2"/>
      <c r="H157" s="2"/>
      <c r="I157" s="2"/>
      <c r="J157" s="2"/>
      <c r="K157" s="2"/>
      <c r="L157" s="2"/>
    </row>
    <row r="158">
      <c r="G158" s="2"/>
      <c r="H158" s="2"/>
      <c r="I158" s="2"/>
      <c r="J158" s="2"/>
      <c r="K158" s="2"/>
      <c r="L158" s="2"/>
    </row>
    <row r="159">
      <c r="G159" s="2"/>
      <c r="H159" s="2"/>
      <c r="I159" s="2"/>
      <c r="J159" s="2"/>
      <c r="K159" s="2"/>
      <c r="L159" s="2"/>
    </row>
    <row r="160">
      <c r="G160" s="2"/>
      <c r="H160" s="2"/>
      <c r="I160" s="2"/>
      <c r="J160" s="2"/>
      <c r="K160" s="2"/>
      <c r="L160" s="2"/>
    </row>
    <row r="161">
      <c r="G161" s="2"/>
      <c r="H161" s="2"/>
      <c r="I161" s="2"/>
      <c r="J161" s="2"/>
      <c r="K161" s="2"/>
      <c r="L161" s="2"/>
    </row>
    <row r="162">
      <c r="G162" s="2"/>
      <c r="H162" s="2"/>
      <c r="I162" s="2"/>
      <c r="J162" s="2"/>
      <c r="K162" s="2"/>
      <c r="L162" s="2"/>
    </row>
    <row r="163">
      <c r="G163" s="2"/>
      <c r="H163" s="2"/>
      <c r="I163" s="2"/>
      <c r="J163" s="2"/>
      <c r="K163" s="2"/>
      <c r="L163" s="2"/>
    </row>
    <row r="164">
      <c r="G164" s="2"/>
      <c r="H164" s="2"/>
      <c r="I164" s="2"/>
      <c r="J164" s="2"/>
      <c r="K164" s="2"/>
      <c r="L164" s="2"/>
    </row>
    <row r="165">
      <c r="G165" s="2"/>
      <c r="H165" s="2"/>
      <c r="I165" s="2"/>
      <c r="J165" s="2"/>
      <c r="K165" s="2"/>
      <c r="L165" s="2"/>
    </row>
    <row r="166">
      <c r="G166" s="2"/>
      <c r="H166" s="2"/>
      <c r="I166" s="2"/>
      <c r="J166" s="2"/>
      <c r="K166" s="2"/>
      <c r="L166" s="2"/>
    </row>
    <row r="167">
      <c r="G167" s="2"/>
      <c r="H167" s="2"/>
      <c r="I167" s="2"/>
      <c r="J167" s="2"/>
      <c r="K167" s="2"/>
      <c r="L167" s="2"/>
    </row>
    <row r="168">
      <c r="G168" s="2"/>
      <c r="H168" s="2"/>
      <c r="I168" s="2"/>
      <c r="J168" s="2"/>
      <c r="K168" s="2"/>
      <c r="L168" s="2"/>
    </row>
    <row r="169">
      <c r="G169" s="2"/>
      <c r="H169" s="2"/>
      <c r="I169" s="2"/>
      <c r="J169" s="2"/>
      <c r="K169" s="2"/>
      <c r="L169" s="2"/>
    </row>
    <row r="170">
      <c r="G170" s="2"/>
      <c r="H170" s="2"/>
      <c r="I170" s="2"/>
      <c r="J170" s="2"/>
      <c r="K170" s="2"/>
      <c r="L170" s="2"/>
    </row>
    <row r="171">
      <c r="G171" s="2"/>
      <c r="H171" s="2"/>
      <c r="I171" s="2"/>
      <c r="J171" s="2"/>
      <c r="K171" s="2"/>
      <c r="L171" s="2"/>
    </row>
    <row r="172">
      <c r="G172" s="2"/>
      <c r="H172" s="2"/>
      <c r="I172" s="2"/>
      <c r="J172" s="2"/>
      <c r="K172" s="2"/>
      <c r="L172" s="2"/>
    </row>
    <row r="173">
      <c r="G173" s="2"/>
      <c r="H173" s="2"/>
      <c r="I173" s="2"/>
      <c r="J173" s="2"/>
      <c r="K173" s="2"/>
      <c r="L173" s="2"/>
    </row>
    <row r="174">
      <c r="G174" s="2"/>
      <c r="H174" s="2"/>
      <c r="I174" s="2"/>
      <c r="J174" s="2"/>
      <c r="K174" s="2"/>
      <c r="L174" s="2"/>
    </row>
    <row r="175">
      <c r="G175" s="2"/>
      <c r="H175" s="2"/>
      <c r="I175" s="2"/>
      <c r="J175" s="2"/>
      <c r="K175" s="2"/>
      <c r="L175" s="2"/>
    </row>
    <row r="176">
      <c r="G176" s="2"/>
      <c r="H176" s="2"/>
      <c r="I176" s="2"/>
      <c r="J176" s="2"/>
      <c r="K176" s="2"/>
      <c r="L176" s="2"/>
    </row>
    <row r="177">
      <c r="G177" s="2"/>
      <c r="H177" s="2"/>
      <c r="I177" s="2"/>
      <c r="J177" s="2"/>
      <c r="K177" s="2"/>
      <c r="L177" s="2"/>
    </row>
    <row r="178">
      <c r="G178" s="2"/>
      <c r="H178" s="2"/>
      <c r="I178" s="2"/>
      <c r="J178" s="2"/>
      <c r="K178" s="2"/>
      <c r="L178" s="2"/>
    </row>
    <row r="179">
      <c r="G179" s="2"/>
      <c r="H179" s="2"/>
      <c r="I179" s="2"/>
      <c r="J179" s="2"/>
      <c r="K179" s="2"/>
      <c r="L179" s="2"/>
    </row>
    <row r="180">
      <c r="G180" s="2"/>
      <c r="H180" s="2"/>
      <c r="I180" s="2"/>
      <c r="J180" s="2"/>
      <c r="K180" s="2"/>
      <c r="L180" s="2"/>
    </row>
    <row r="181">
      <c r="G181" s="2"/>
      <c r="H181" s="2"/>
      <c r="I181" s="2"/>
      <c r="J181" s="2"/>
      <c r="K181" s="2"/>
      <c r="L181" s="2"/>
    </row>
    <row r="182">
      <c r="G182" s="2"/>
      <c r="H182" s="2"/>
      <c r="I182" s="2"/>
      <c r="J182" s="2"/>
      <c r="K182" s="2"/>
      <c r="L182" s="2"/>
    </row>
    <row r="183">
      <c r="G183" s="2"/>
      <c r="H183" s="2"/>
      <c r="I183" s="2"/>
      <c r="J183" s="2"/>
      <c r="K183" s="2"/>
      <c r="L183" s="2"/>
    </row>
    <row r="184">
      <c r="G184" s="2"/>
      <c r="H184" s="2"/>
      <c r="I184" s="2"/>
      <c r="J184" s="2"/>
      <c r="K184" s="2"/>
      <c r="L184" s="2"/>
    </row>
    <row r="185">
      <c r="G185" s="2"/>
      <c r="H185" s="2"/>
      <c r="I185" s="2"/>
      <c r="J185" s="2"/>
      <c r="K185" s="2"/>
      <c r="L185" s="2"/>
    </row>
    <row r="186">
      <c r="G186" s="2"/>
      <c r="H186" s="2"/>
      <c r="I186" s="2"/>
      <c r="J186" s="2"/>
      <c r="K186" s="2"/>
      <c r="L186" s="2"/>
    </row>
    <row r="187">
      <c r="G187" s="2"/>
      <c r="H187" s="2"/>
      <c r="I187" s="2"/>
      <c r="J187" s="2"/>
      <c r="K187" s="2"/>
      <c r="L187" s="2"/>
    </row>
    <row r="188">
      <c r="G188" s="2"/>
      <c r="H188" s="2"/>
      <c r="I188" s="2"/>
      <c r="J188" s="2"/>
      <c r="K188" s="2"/>
      <c r="L188" s="2"/>
    </row>
    <row r="189">
      <c r="G189" s="2"/>
      <c r="H189" s="2"/>
      <c r="I189" s="2"/>
      <c r="J189" s="2"/>
      <c r="K189" s="2"/>
      <c r="L189" s="2"/>
    </row>
    <row r="190">
      <c r="G190" s="2"/>
      <c r="H190" s="2"/>
      <c r="I190" s="2"/>
      <c r="J190" s="2"/>
      <c r="K190" s="2"/>
      <c r="L190" s="2"/>
    </row>
    <row r="191">
      <c r="G191" s="2"/>
      <c r="H191" s="2"/>
      <c r="I191" s="2"/>
      <c r="J191" s="2"/>
      <c r="K191" s="2"/>
      <c r="L191" s="2"/>
    </row>
    <row r="192">
      <c r="G192" s="2"/>
      <c r="H192" s="2"/>
      <c r="I192" s="2"/>
      <c r="J192" s="2"/>
      <c r="K192" s="2"/>
      <c r="L192" s="2"/>
    </row>
    <row r="193">
      <c r="G193" s="2"/>
      <c r="H193" s="2"/>
      <c r="I193" s="2"/>
      <c r="J193" s="2"/>
      <c r="K193" s="2"/>
      <c r="L193" s="2"/>
    </row>
    <row r="194">
      <c r="G194" s="2"/>
      <c r="H194" s="2"/>
      <c r="I194" s="2"/>
      <c r="J194" s="2"/>
      <c r="K194" s="2"/>
      <c r="L194" s="2"/>
    </row>
    <row r="195">
      <c r="G195" s="2"/>
      <c r="H195" s="2"/>
      <c r="I195" s="2"/>
      <c r="J195" s="2"/>
      <c r="K195" s="2"/>
      <c r="L195" s="2"/>
    </row>
    <row r="196">
      <c r="G196" s="2"/>
      <c r="H196" s="2"/>
      <c r="I196" s="2"/>
      <c r="J196" s="2"/>
      <c r="K196" s="2"/>
      <c r="L196" s="2"/>
    </row>
    <row r="197">
      <c r="G197" s="2"/>
      <c r="H197" s="2"/>
      <c r="I197" s="2"/>
      <c r="J197" s="2"/>
      <c r="K197" s="2"/>
      <c r="L197" s="2"/>
    </row>
    <row r="198">
      <c r="G198" s="2"/>
      <c r="H198" s="2"/>
      <c r="I198" s="2"/>
      <c r="J198" s="2"/>
      <c r="K198" s="2"/>
      <c r="L198" s="2"/>
    </row>
    <row r="199">
      <c r="G199" s="2"/>
      <c r="H199" s="2"/>
      <c r="I199" s="2"/>
      <c r="J199" s="2"/>
      <c r="K199" s="2"/>
      <c r="L199" s="2"/>
    </row>
    <row r="200">
      <c r="G200" s="2"/>
      <c r="H200" s="2"/>
      <c r="I200" s="2"/>
      <c r="J200" s="2"/>
      <c r="K200" s="2"/>
      <c r="L200" s="2"/>
    </row>
    <row r="201">
      <c r="G201" s="2"/>
      <c r="H201" s="2"/>
      <c r="I201" s="2"/>
      <c r="J201" s="2"/>
      <c r="K201" s="2"/>
      <c r="L201" s="2"/>
    </row>
    <row r="202">
      <c r="G202" s="2"/>
      <c r="H202" s="2"/>
      <c r="I202" s="2"/>
      <c r="J202" s="2"/>
      <c r="K202" s="2"/>
      <c r="L202" s="2"/>
    </row>
    <row r="203">
      <c r="G203" s="2"/>
      <c r="H203" s="2"/>
      <c r="I203" s="2"/>
      <c r="J203" s="2"/>
      <c r="K203" s="2"/>
      <c r="L203" s="2"/>
    </row>
    <row r="204">
      <c r="G204" s="2"/>
      <c r="H204" s="2"/>
      <c r="I204" s="2"/>
      <c r="J204" s="2"/>
      <c r="K204" s="2"/>
      <c r="L204" s="2"/>
    </row>
    <row r="205">
      <c r="G205" s="2"/>
      <c r="H205" s="2"/>
      <c r="I205" s="2"/>
      <c r="J205" s="2"/>
      <c r="K205" s="2"/>
      <c r="L205" s="2"/>
    </row>
    <row r="206">
      <c r="G206" s="2"/>
      <c r="H206" s="2"/>
      <c r="I206" s="2"/>
      <c r="J206" s="2"/>
      <c r="K206" s="2"/>
      <c r="L206" s="2"/>
    </row>
    <row r="207">
      <c r="G207" s="2"/>
      <c r="H207" s="2"/>
      <c r="I207" s="2"/>
      <c r="J207" s="2"/>
      <c r="K207" s="2"/>
      <c r="L207" s="2"/>
    </row>
    <row r="208">
      <c r="G208" s="2"/>
      <c r="H208" s="2"/>
      <c r="I208" s="2"/>
      <c r="J208" s="2"/>
      <c r="K208" s="2"/>
      <c r="L208" s="2"/>
    </row>
    <row r="209">
      <c r="G209" s="2"/>
      <c r="H209" s="2"/>
      <c r="I209" s="2"/>
      <c r="J209" s="2"/>
      <c r="K209" s="2"/>
      <c r="L209" s="2"/>
    </row>
    <row r="210">
      <c r="G210" s="2"/>
      <c r="H210" s="2"/>
      <c r="I210" s="2"/>
      <c r="J210" s="2"/>
      <c r="K210" s="2"/>
      <c r="L210" s="2"/>
    </row>
    <row r="211">
      <c r="G211" s="2"/>
      <c r="H211" s="2"/>
      <c r="I211" s="2"/>
      <c r="J211" s="2"/>
      <c r="K211" s="2"/>
      <c r="L211" s="2"/>
    </row>
    <row r="212">
      <c r="G212" s="2"/>
      <c r="H212" s="2"/>
      <c r="I212" s="2"/>
      <c r="J212" s="2"/>
      <c r="K212" s="2"/>
      <c r="L212" s="2"/>
    </row>
    <row r="213">
      <c r="G213" s="2"/>
      <c r="H213" s="2"/>
      <c r="I213" s="2"/>
      <c r="J213" s="2"/>
      <c r="K213" s="2"/>
      <c r="L213" s="2"/>
    </row>
    <row r="214">
      <c r="G214" s="2"/>
      <c r="H214" s="2"/>
      <c r="I214" s="2"/>
      <c r="J214" s="2"/>
      <c r="K214" s="2"/>
      <c r="L214" s="2"/>
    </row>
    <row r="215">
      <c r="G215" s="2"/>
      <c r="H215" s="2"/>
      <c r="I215" s="2"/>
      <c r="J215" s="2"/>
      <c r="K215" s="2"/>
      <c r="L215" s="2"/>
    </row>
    <row r="216">
      <c r="G216" s="2"/>
      <c r="H216" s="2"/>
      <c r="I216" s="2"/>
      <c r="J216" s="2"/>
      <c r="K216" s="2"/>
      <c r="L216" s="2"/>
    </row>
    <row r="217">
      <c r="G217" s="2"/>
      <c r="H217" s="2"/>
      <c r="I217" s="2"/>
      <c r="J217" s="2"/>
      <c r="K217" s="2"/>
      <c r="L217" s="2"/>
    </row>
    <row r="218">
      <c r="G218" s="2"/>
      <c r="H218" s="2"/>
      <c r="I218" s="2"/>
      <c r="J218" s="2"/>
      <c r="K218" s="2"/>
      <c r="L218" s="2"/>
    </row>
    <row r="219">
      <c r="G219" s="2"/>
      <c r="H219" s="2"/>
      <c r="I219" s="2"/>
      <c r="J219" s="2"/>
      <c r="K219" s="2"/>
      <c r="L219" s="2"/>
    </row>
    <row r="220">
      <c r="G220" s="2"/>
      <c r="H220" s="2"/>
      <c r="I220" s="2"/>
      <c r="J220" s="2"/>
      <c r="K220" s="2"/>
      <c r="L220" s="2"/>
    </row>
    <row r="221">
      <c r="G221" s="2"/>
      <c r="H221" s="2"/>
      <c r="I221" s="2"/>
      <c r="J221" s="2"/>
      <c r="K221" s="2"/>
      <c r="L221" s="2"/>
    </row>
    <row r="222">
      <c r="G222" s="2"/>
      <c r="H222" s="2"/>
      <c r="I222" s="2"/>
      <c r="J222" s="2"/>
      <c r="K222" s="2"/>
      <c r="L222" s="2"/>
    </row>
    <row r="223">
      <c r="G223" s="2"/>
      <c r="H223" s="2"/>
      <c r="I223" s="2"/>
      <c r="J223" s="2"/>
      <c r="K223" s="2"/>
      <c r="L223" s="2"/>
    </row>
    <row r="224">
      <c r="G224" s="2"/>
      <c r="H224" s="2"/>
      <c r="I224" s="2"/>
      <c r="J224" s="2"/>
      <c r="K224" s="2"/>
      <c r="L224" s="2"/>
    </row>
    <row r="225">
      <c r="G225" s="2"/>
      <c r="H225" s="2"/>
      <c r="I225" s="2"/>
      <c r="J225" s="2"/>
      <c r="K225" s="2"/>
      <c r="L225" s="2"/>
    </row>
    <row r="226">
      <c r="G226" s="2"/>
      <c r="H226" s="2"/>
      <c r="I226" s="2"/>
      <c r="J226" s="2"/>
      <c r="K226" s="2"/>
      <c r="L226" s="2"/>
    </row>
    <row r="227">
      <c r="G227" s="2"/>
      <c r="H227" s="2"/>
      <c r="I227" s="2"/>
      <c r="J227" s="2"/>
      <c r="K227" s="2"/>
      <c r="L227" s="2"/>
    </row>
    <row r="228">
      <c r="G228" s="2"/>
      <c r="H228" s="2"/>
      <c r="I228" s="2"/>
      <c r="J228" s="2"/>
      <c r="K228" s="2"/>
      <c r="L228" s="2"/>
    </row>
    <row r="229">
      <c r="G229" s="2"/>
      <c r="H229" s="2"/>
      <c r="I229" s="2"/>
      <c r="J229" s="2"/>
      <c r="K229" s="2"/>
      <c r="L229" s="2"/>
    </row>
    <row r="230">
      <c r="G230" s="2"/>
      <c r="H230" s="2"/>
      <c r="I230" s="2"/>
      <c r="J230" s="2"/>
      <c r="K230" s="2"/>
      <c r="L230" s="2"/>
    </row>
    <row r="231">
      <c r="G231" s="2"/>
      <c r="H231" s="2"/>
      <c r="I231" s="2"/>
      <c r="J231" s="2"/>
      <c r="K231" s="2"/>
      <c r="L231" s="2"/>
    </row>
    <row r="232">
      <c r="G232" s="2"/>
      <c r="H232" s="2"/>
      <c r="I232" s="2"/>
      <c r="J232" s="2"/>
      <c r="K232" s="2"/>
      <c r="L232" s="2"/>
    </row>
    <row r="233">
      <c r="G233" s="2"/>
      <c r="H233" s="2"/>
      <c r="I233" s="2"/>
      <c r="J233" s="2"/>
      <c r="K233" s="2"/>
      <c r="L233" s="2"/>
    </row>
    <row r="234">
      <c r="G234" s="2"/>
      <c r="H234" s="2"/>
      <c r="I234" s="2"/>
      <c r="J234" s="2"/>
      <c r="K234" s="2"/>
      <c r="L234" s="2"/>
    </row>
    <row r="235">
      <c r="G235" s="2"/>
      <c r="H235" s="2"/>
      <c r="I235" s="2"/>
      <c r="J235" s="2"/>
      <c r="K235" s="2"/>
      <c r="L235" s="2"/>
    </row>
    <row r="236">
      <c r="G236" s="2"/>
      <c r="H236" s="2"/>
      <c r="I236" s="2"/>
      <c r="J236" s="2"/>
      <c r="K236" s="2"/>
      <c r="L236" s="2"/>
    </row>
    <row r="237">
      <c r="G237" s="2"/>
      <c r="H237" s="2"/>
      <c r="I237" s="2"/>
      <c r="J237" s="2"/>
      <c r="K237" s="2"/>
      <c r="L237" s="2"/>
    </row>
    <row r="238">
      <c r="G238" s="2"/>
      <c r="H238" s="2"/>
      <c r="I238" s="2"/>
      <c r="J238" s="2"/>
      <c r="K238" s="2"/>
      <c r="L238" s="2"/>
    </row>
    <row r="239">
      <c r="G239" s="2"/>
      <c r="H239" s="2"/>
      <c r="I239" s="2"/>
      <c r="J239" s="2"/>
      <c r="K239" s="2"/>
      <c r="L239" s="2"/>
    </row>
    <row r="240">
      <c r="G240" s="2"/>
      <c r="H240" s="2"/>
      <c r="I240" s="2"/>
      <c r="J240" s="2"/>
      <c r="K240" s="2"/>
      <c r="L240" s="2"/>
    </row>
    <row r="241">
      <c r="G241" s="2"/>
      <c r="H241" s="2"/>
      <c r="I241" s="2"/>
      <c r="J241" s="2"/>
      <c r="K241" s="2"/>
      <c r="L241" s="2"/>
    </row>
    <row r="242">
      <c r="G242" s="2"/>
      <c r="H242" s="2"/>
      <c r="I242" s="2"/>
      <c r="J242" s="2"/>
      <c r="K242" s="2"/>
      <c r="L242" s="2"/>
    </row>
    <row r="243">
      <c r="G243" s="2"/>
      <c r="H243" s="2"/>
      <c r="I243" s="2"/>
      <c r="J243" s="2"/>
      <c r="K243" s="2"/>
      <c r="L243" s="2"/>
    </row>
    <row r="244">
      <c r="G244" s="2"/>
      <c r="H244" s="2"/>
      <c r="I244" s="2"/>
      <c r="J244" s="2"/>
      <c r="K244" s="2"/>
      <c r="L244" s="2"/>
    </row>
    <row r="245">
      <c r="G245" s="2"/>
      <c r="H245" s="2"/>
      <c r="I245" s="2"/>
      <c r="J245" s="2"/>
      <c r="K245" s="2"/>
      <c r="L245" s="2"/>
    </row>
    <row r="246">
      <c r="G246" s="2"/>
      <c r="H246" s="2"/>
      <c r="I246" s="2"/>
      <c r="J246" s="2"/>
      <c r="K246" s="2"/>
      <c r="L246" s="2"/>
    </row>
    <row r="247">
      <c r="G247" s="2"/>
      <c r="H247" s="2"/>
      <c r="I247" s="2"/>
      <c r="J247" s="2"/>
      <c r="K247" s="2"/>
      <c r="L247" s="2"/>
    </row>
    <row r="248">
      <c r="G248" s="2"/>
      <c r="H248" s="2"/>
      <c r="I248" s="2"/>
      <c r="J248" s="2"/>
      <c r="K248" s="2"/>
      <c r="L248" s="2"/>
    </row>
    <row r="249">
      <c r="G249" s="2"/>
      <c r="H249" s="2"/>
      <c r="I249" s="2"/>
      <c r="J249" s="2"/>
      <c r="K249" s="2"/>
      <c r="L249" s="2"/>
    </row>
    <row r="250">
      <c r="G250" s="2"/>
      <c r="H250" s="2"/>
      <c r="I250" s="2"/>
      <c r="J250" s="2"/>
      <c r="K250" s="2"/>
      <c r="L250" s="2"/>
    </row>
    <row r="251">
      <c r="G251" s="2"/>
      <c r="H251" s="2"/>
      <c r="I251" s="2"/>
      <c r="J251" s="2"/>
      <c r="K251" s="2"/>
      <c r="L251" s="2"/>
    </row>
    <row r="252">
      <c r="G252" s="2"/>
      <c r="H252" s="2"/>
      <c r="I252" s="2"/>
      <c r="J252" s="2"/>
      <c r="K252" s="2"/>
      <c r="L252" s="2"/>
    </row>
    <row r="253">
      <c r="G253" s="2"/>
      <c r="H253" s="2"/>
      <c r="I253" s="2"/>
      <c r="J253" s="2"/>
      <c r="K253" s="2"/>
      <c r="L253" s="2"/>
    </row>
    <row r="254">
      <c r="G254" s="2"/>
      <c r="H254" s="2"/>
      <c r="I254" s="2"/>
      <c r="J254" s="2"/>
      <c r="K254" s="2"/>
      <c r="L254" s="2"/>
    </row>
    <row r="255">
      <c r="G255" s="2"/>
      <c r="H255" s="2"/>
      <c r="I255" s="2"/>
      <c r="J255" s="2"/>
      <c r="K255" s="2"/>
      <c r="L255" s="2"/>
    </row>
    <row r="256">
      <c r="G256" s="2"/>
      <c r="H256" s="2"/>
      <c r="I256" s="2"/>
      <c r="J256" s="2"/>
      <c r="K256" s="2"/>
      <c r="L256" s="2"/>
    </row>
    <row r="257">
      <c r="G257" s="2"/>
      <c r="H257" s="2"/>
      <c r="I257" s="2"/>
      <c r="J257" s="2"/>
      <c r="K257" s="2"/>
      <c r="L257" s="2"/>
    </row>
    <row r="258">
      <c r="G258" s="2"/>
      <c r="H258" s="2"/>
      <c r="I258" s="2"/>
      <c r="J258" s="2"/>
      <c r="K258" s="2"/>
      <c r="L258" s="2"/>
    </row>
    <row r="259">
      <c r="G259" s="2"/>
      <c r="H259" s="2"/>
      <c r="I259" s="2"/>
      <c r="J259" s="2"/>
      <c r="K259" s="2"/>
      <c r="L259" s="2"/>
    </row>
    <row r="260">
      <c r="G260" s="2"/>
      <c r="H260" s="2"/>
      <c r="I260" s="2"/>
      <c r="J260" s="2"/>
      <c r="K260" s="2"/>
      <c r="L260" s="2"/>
    </row>
    <row r="261">
      <c r="G261" s="2"/>
      <c r="H261" s="2"/>
      <c r="I261" s="2"/>
      <c r="J261" s="2"/>
      <c r="K261" s="2"/>
      <c r="L261" s="2"/>
    </row>
    <row r="262">
      <c r="G262" s="2"/>
      <c r="H262" s="2"/>
      <c r="I262" s="2"/>
      <c r="J262" s="2"/>
      <c r="K262" s="2"/>
      <c r="L262" s="2"/>
    </row>
    <row r="263">
      <c r="G263" s="2"/>
      <c r="H263" s="2"/>
      <c r="I263" s="2"/>
      <c r="J263" s="2"/>
      <c r="K263" s="2"/>
      <c r="L263" s="2"/>
    </row>
    <row r="264">
      <c r="G264" s="2"/>
      <c r="H264" s="2"/>
      <c r="I264" s="2"/>
      <c r="J264" s="2"/>
      <c r="K264" s="2"/>
      <c r="L264" s="2"/>
    </row>
    <row r="265">
      <c r="G265" s="2"/>
      <c r="H265" s="2"/>
      <c r="I265" s="2"/>
      <c r="J265" s="2"/>
      <c r="K265" s="2"/>
      <c r="L265" s="2"/>
    </row>
    <row r="266">
      <c r="G266" s="2"/>
      <c r="H266" s="2"/>
      <c r="I266" s="2"/>
      <c r="J266" s="2"/>
      <c r="K266" s="2"/>
      <c r="L266" s="2"/>
    </row>
    <row r="267">
      <c r="G267" s="2"/>
      <c r="H267" s="2"/>
      <c r="I267" s="2"/>
      <c r="J267" s="2"/>
      <c r="K267" s="2"/>
      <c r="L267" s="2"/>
    </row>
    <row r="268">
      <c r="G268" s="2"/>
      <c r="H268" s="2"/>
      <c r="I268" s="2"/>
      <c r="J268" s="2"/>
      <c r="K268" s="2"/>
      <c r="L268" s="2"/>
    </row>
    <row r="269">
      <c r="G269" s="2"/>
      <c r="H269" s="2"/>
      <c r="I269" s="2"/>
      <c r="J269" s="2"/>
      <c r="K269" s="2"/>
      <c r="L269" s="2"/>
    </row>
    <row r="270">
      <c r="G270" s="2"/>
      <c r="H270" s="2"/>
      <c r="I270" s="2"/>
      <c r="J270" s="2"/>
      <c r="K270" s="2"/>
      <c r="L270" s="2"/>
    </row>
    <row r="271">
      <c r="G271" s="2"/>
      <c r="H271" s="2"/>
      <c r="I271" s="2"/>
      <c r="J271" s="2"/>
      <c r="K271" s="2"/>
      <c r="L271" s="2"/>
    </row>
    <row r="272">
      <c r="G272" s="2"/>
      <c r="H272" s="2"/>
      <c r="I272" s="2"/>
      <c r="J272" s="2"/>
      <c r="K272" s="2"/>
      <c r="L272" s="2"/>
    </row>
    <row r="273">
      <c r="G273" s="2"/>
      <c r="H273" s="2"/>
      <c r="I273" s="2"/>
      <c r="J273" s="2"/>
      <c r="K273" s="2"/>
      <c r="L273" s="2"/>
    </row>
    <row r="274">
      <c r="G274" s="2"/>
      <c r="H274" s="2"/>
      <c r="I274" s="2"/>
      <c r="J274" s="2"/>
      <c r="K274" s="2"/>
      <c r="L274" s="2"/>
    </row>
    <row r="275">
      <c r="G275" s="2"/>
      <c r="H275" s="2"/>
      <c r="I275" s="2"/>
      <c r="J275" s="2"/>
      <c r="K275" s="2"/>
      <c r="L275" s="2"/>
    </row>
    <row r="276">
      <c r="G276" s="2"/>
      <c r="H276" s="2"/>
      <c r="I276" s="2"/>
      <c r="J276" s="2"/>
      <c r="K276" s="2"/>
      <c r="L276" s="2"/>
    </row>
    <row r="277">
      <c r="G277" s="2"/>
      <c r="H277" s="2"/>
      <c r="I277" s="2"/>
      <c r="J277" s="2"/>
      <c r="K277" s="2"/>
      <c r="L277" s="2"/>
    </row>
    <row r="278">
      <c r="G278" s="2"/>
      <c r="H278" s="2"/>
      <c r="I278" s="2"/>
      <c r="J278" s="2"/>
      <c r="K278" s="2"/>
      <c r="L278" s="2"/>
    </row>
    <row r="279">
      <c r="G279" s="2"/>
      <c r="H279" s="2"/>
      <c r="I279" s="2"/>
      <c r="J279" s="2"/>
      <c r="K279" s="2"/>
      <c r="L279" s="2"/>
    </row>
    <row r="280">
      <c r="G280" s="2"/>
      <c r="H280" s="2"/>
      <c r="I280" s="2"/>
      <c r="J280" s="2"/>
      <c r="K280" s="2"/>
      <c r="L280" s="2"/>
    </row>
    <row r="281">
      <c r="G281" s="2"/>
      <c r="H281" s="2"/>
      <c r="I281" s="2"/>
      <c r="J281" s="2"/>
      <c r="K281" s="2"/>
      <c r="L281" s="2"/>
    </row>
    <row r="282">
      <c r="G282" s="2"/>
      <c r="H282" s="2"/>
      <c r="I282" s="2"/>
      <c r="J282" s="2"/>
      <c r="K282" s="2"/>
      <c r="L282" s="2"/>
    </row>
    <row r="283">
      <c r="G283" s="2"/>
      <c r="H283" s="2"/>
      <c r="I283" s="2"/>
      <c r="J283" s="2"/>
      <c r="K283" s="2"/>
      <c r="L283" s="2"/>
    </row>
    <row r="284">
      <c r="G284" s="2"/>
      <c r="H284" s="2"/>
      <c r="I284" s="2"/>
      <c r="J284" s="2"/>
      <c r="K284" s="2"/>
      <c r="L284" s="2"/>
    </row>
    <row r="285">
      <c r="G285" s="2"/>
      <c r="H285" s="2"/>
      <c r="I285" s="2"/>
      <c r="J285" s="2"/>
      <c r="K285" s="2"/>
      <c r="L285" s="2"/>
    </row>
    <row r="286">
      <c r="G286" s="2"/>
      <c r="H286" s="2"/>
      <c r="I286" s="2"/>
      <c r="J286" s="2"/>
      <c r="K286" s="2"/>
      <c r="L286" s="2"/>
    </row>
    <row r="287">
      <c r="G287" s="2"/>
      <c r="H287" s="2"/>
      <c r="I287" s="2"/>
      <c r="J287" s="2"/>
      <c r="K287" s="2"/>
      <c r="L287" s="2"/>
    </row>
    <row r="288">
      <c r="G288" s="2"/>
      <c r="H288" s="2"/>
      <c r="I288" s="2"/>
      <c r="J288" s="2"/>
      <c r="K288" s="2"/>
      <c r="L288" s="2"/>
    </row>
    <row r="289">
      <c r="G289" s="2"/>
      <c r="H289" s="2"/>
      <c r="I289" s="2"/>
      <c r="J289" s="2"/>
      <c r="K289" s="2"/>
      <c r="L289" s="2"/>
    </row>
    <row r="290">
      <c r="G290" s="2"/>
      <c r="H290" s="2"/>
      <c r="I290" s="2"/>
      <c r="J290" s="2"/>
      <c r="K290" s="2"/>
      <c r="L290" s="2"/>
    </row>
    <row r="291">
      <c r="G291" s="2"/>
      <c r="H291" s="2"/>
      <c r="I291" s="2"/>
      <c r="J291" s="2"/>
      <c r="K291" s="2"/>
      <c r="L291" s="2"/>
    </row>
    <row r="292">
      <c r="G292" s="2"/>
      <c r="H292" s="2"/>
      <c r="I292" s="2"/>
      <c r="J292" s="2"/>
      <c r="K292" s="2"/>
      <c r="L292" s="2"/>
    </row>
    <row r="293">
      <c r="G293" s="2"/>
      <c r="H293" s="2"/>
      <c r="I293" s="2"/>
      <c r="J293" s="2"/>
      <c r="K293" s="2"/>
      <c r="L293" s="2"/>
    </row>
    <row r="294">
      <c r="G294" s="2"/>
      <c r="H294" s="2"/>
      <c r="I294" s="2"/>
      <c r="J294" s="2"/>
      <c r="K294" s="2"/>
      <c r="L294" s="2"/>
    </row>
    <row r="295">
      <c r="G295" s="2"/>
      <c r="H295" s="2"/>
      <c r="I295" s="2"/>
      <c r="J295" s="2"/>
      <c r="K295" s="2"/>
      <c r="L295" s="2"/>
    </row>
    <row r="296">
      <c r="G296" s="2"/>
      <c r="H296" s="2"/>
      <c r="I296" s="2"/>
      <c r="J296" s="2"/>
      <c r="K296" s="2"/>
      <c r="L296" s="2"/>
    </row>
    <row r="297">
      <c r="G297" s="2"/>
      <c r="H297" s="2"/>
      <c r="I297" s="2"/>
      <c r="J297" s="2"/>
      <c r="K297" s="2"/>
      <c r="L297" s="2"/>
    </row>
    <row r="298">
      <c r="G298" s="2"/>
      <c r="H298" s="2"/>
      <c r="I298" s="2"/>
      <c r="J298" s="2"/>
      <c r="K298" s="2"/>
      <c r="L298" s="2"/>
    </row>
    <row r="299">
      <c r="G299" s="2"/>
      <c r="H299" s="2"/>
      <c r="I299" s="2"/>
      <c r="J299" s="2"/>
      <c r="K299" s="2"/>
      <c r="L299" s="2"/>
    </row>
    <row r="300">
      <c r="G300" s="2"/>
      <c r="H300" s="2"/>
      <c r="I300" s="2"/>
      <c r="J300" s="2"/>
      <c r="K300" s="2"/>
      <c r="L300" s="2"/>
    </row>
    <row r="301">
      <c r="G301" s="2"/>
      <c r="H301" s="2"/>
      <c r="I301" s="2"/>
      <c r="J301" s="2"/>
      <c r="K301" s="2"/>
      <c r="L301" s="2"/>
    </row>
    <row r="302">
      <c r="G302" s="2"/>
      <c r="H302" s="2"/>
      <c r="I302" s="2"/>
      <c r="J302" s="2"/>
      <c r="K302" s="2"/>
      <c r="L302" s="2"/>
    </row>
    <row r="303">
      <c r="G303" s="2"/>
      <c r="H303" s="2"/>
      <c r="I303" s="2"/>
      <c r="J303" s="2"/>
      <c r="K303" s="2"/>
      <c r="L303" s="2"/>
    </row>
    <row r="304">
      <c r="G304" s="2"/>
      <c r="H304" s="2"/>
      <c r="I304" s="2"/>
      <c r="J304" s="2"/>
      <c r="K304" s="2"/>
      <c r="L304" s="2"/>
    </row>
    <row r="305">
      <c r="G305" s="2"/>
      <c r="H305" s="2"/>
      <c r="I305" s="2"/>
      <c r="J305" s="2"/>
      <c r="K305" s="2"/>
      <c r="L305" s="2"/>
    </row>
    <row r="306">
      <c r="G306" s="2"/>
      <c r="H306" s="2"/>
      <c r="I306" s="2"/>
      <c r="J306" s="2"/>
      <c r="K306" s="2"/>
      <c r="L306" s="2"/>
    </row>
    <row r="307">
      <c r="G307" s="2"/>
      <c r="H307" s="2"/>
      <c r="I307" s="2"/>
      <c r="J307" s="2"/>
      <c r="K307" s="2"/>
      <c r="L307" s="2"/>
    </row>
    <row r="308">
      <c r="G308" s="2"/>
      <c r="H308" s="2"/>
      <c r="I308" s="2"/>
      <c r="J308" s="2"/>
      <c r="K308" s="2"/>
      <c r="L308" s="2"/>
    </row>
    <row r="309">
      <c r="G309" s="2"/>
      <c r="H309" s="2"/>
      <c r="I309" s="2"/>
      <c r="J309" s="2"/>
      <c r="K309" s="2"/>
      <c r="L309" s="2"/>
    </row>
    <row r="310">
      <c r="G310" s="2"/>
      <c r="H310" s="2"/>
      <c r="I310" s="2"/>
      <c r="J310" s="2"/>
      <c r="K310" s="2"/>
      <c r="L310" s="2"/>
    </row>
    <row r="311">
      <c r="G311" s="2"/>
      <c r="H311" s="2"/>
      <c r="I311" s="2"/>
      <c r="J311" s="2"/>
      <c r="K311" s="2"/>
      <c r="L311" s="2"/>
    </row>
    <row r="312">
      <c r="G312" s="2"/>
      <c r="H312" s="2"/>
      <c r="I312" s="2"/>
      <c r="J312" s="2"/>
      <c r="K312" s="2"/>
      <c r="L312" s="2"/>
    </row>
    <row r="313">
      <c r="G313" s="2"/>
      <c r="H313" s="2"/>
      <c r="I313" s="2"/>
      <c r="J313" s="2"/>
      <c r="K313" s="2"/>
      <c r="L313" s="2"/>
    </row>
    <row r="314">
      <c r="G314" s="2"/>
      <c r="H314" s="2"/>
      <c r="I314" s="2"/>
      <c r="J314" s="2"/>
      <c r="K314" s="2"/>
      <c r="L314" s="2"/>
    </row>
    <row r="315">
      <c r="G315" s="2"/>
      <c r="H315" s="2"/>
      <c r="I315" s="2"/>
      <c r="J315" s="2"/>
      <c r="K315" s="2"/>
      <c r="L315" s="2"/>
    </row>
    <row r="316">
      <c r="G316" s="2"/>
      <c r="H316" s="2"/>
      <c r="I316" s="2"/>
      <c r="J316" s="2"/>
      <c r="K316" s="2"/>
      <c r="L316" s="2"/>
    </row>
    <row r="317">
      <c r="G317" s="2"/>
      <c r="H317" s="2"/>
      <c r="I317" s="2"/>
      <c r="J317" s="2"/>
      <c r="K317" s="2"/>
      <c r="L317" s="2"/>
    </row>
    <row r="318">
      <c r="G318" s="2"/>
      <c r="H318" s="2"/>
      <c r="I318" s="2"/>
      <c r="J318" s="2"/>
      <c r="K318" s="2"/>
      <c r="L318" s="2"/>
    </row>
    <row r="319">
      <c r="G319" s="2"/>
      <c r="H319" s="2"/>
      <c r="I319" s="2"/>
      <c r="J319" s="2"/>
      <c r="K319" s="2"/>
      <c r="L319" s="2"/>
    </row>
    <row r="320">
      <c r="G320" s="2"/>
      <c r="H320" s="2"/>
      <c r="I320" s="2"/>
      <c r="J320" s="2"/>
      <c r="K320" s="2"/>
      <c r="L320" s="2"/>
    </row>
    <row r="321">
      <c r="G321" s="2"/>
      <c r="H321" s="2"/>
      <c r="I321" s="2"/>
      <c r="J321" s="2"/>
      <c r="K321" s="2"/>
      <c r="L321" s="2"/>
    </row>
    <row r="322">
      <c r="G322" s="2"/>
      <c r="H322" s="2"/>
      <c r="I322" s="2"/>
      <c r="J322" s="2"/>
      <c r="K322" s="2"/>
      <c r="L322" s="2"/>
    </row>
    <row r="323">
      <c r="G323" s="2"/>
      <c r="H323" s="2"/>
      <c r="I323" s="2"/>
      <c r="J323" s="2"/>
      <c r="K323" s="2"/>
      <c r="L323" s="2"/>
    </row>
    <row r="324">
      <c r="G324" s="2"/>
      <c r="H324" s="2"/>
      <c r="I324" s="2"/>
      <c r="J324" s="2"/>
      <c r="K324" s="2"/>
      <c r="L324" s="2"/>
    </row>
    <row r="325">
      <c r="G325" s="2"/>
      <c r="H325" s="2"/>
      <c r="I325" s="2"/>
      <c r="J325" s="2"/>
      <c r="K325" s="2"/>
      <c r="L325" s="2"/>
    </row>
    <row r="326">
      <c r="G326" s="2"/>
      <c r="H326" s="2"/>
      <c r="I326" s="2"/>
      <c r="J326" s="2"/>
      <c r="K326" s="2"/>
      <c r="L326" s="2"/>
    </row>
    <row r="327">
      <c r="G327" s="2"/>
      <c r="H327" s="2"/>
      <c r="I327" s="2"/>
      <c r="J327" s="2"/>
      <c r="K327" s="2"/>
      <c r="L327" s="2"/>
    </row>
    <row r="328">
      <c r="G328" s="2"/>
      <c r="H328" s="2"/>
      <c r="I328" s="2"/>
      <c r="J328" s="2"/>
      <c r="K328" s="2"/>
      <c r="L328" s="2"/>
    </row>
    <row r="329">
      <c r="G329" s="2"/>
      <c r="H329" s="2"/>
      <c r="I329" s="2"/>
      <c r="J329" s="2"/>
      <c r="K329" s="2"/>
      <c r="L329" s="2"/>
    </row>
    <row r="330">
      <c r="G330" s="2"/>
      <c r="H330" s="2"/>
      <c r="I330" s="2"/>
      <c r="J330" s="2"/>
      <c r="K330" s="2"/>
      <c r="L330" s="2"/>
    </row>
    <row r="331">
      <c r="G331" s="2"/>
      <c r="H331" s="2"/>
      <c r="I331" s="2"/>
      <c r="J331" s="2"/>
      <c r="K331" s="2"/>
      <c r="L331" s="2"/>
    </row>
    <row r="332">
      <c r="G332" s="2"/>
      <c r="H332" s="2"/>
      <c r="I332" s="2"/>
      <c r="J332" s="2"/>
      <c r="K332" s="2"/>
      <c r="L332" s="2"/>
    </row>
    <row r="333">
      <c r="G333" s="2"/>
      <c r="H333" s="2"/>
      <c r="I333" s="2"/>
      <c r="J333" s="2"/>
      <c r="K333" s="2"/>
      <c r="L333" s="2"/>
    </row>
    <row r="334">
      <c r="G334" s="2"/>
      <c r="H334" s="2"/>
      <c r="I334" s="2"/>
      <c r="J334" s="2"/>
      <c r="K334" s="2"/>
      <c r="L334" s="2"/>
    </row>
    <row r="335">
      <c r="G335" s="2"/>
      <c r="H335" s="2"/>
      <c r="I335" s="2"/>
      <c r="J335" s="2"/>
      <c r="K335" s="2"/>
      <c r="L335" s="2"/>
    </row>
    <row r="336">
      <c r="G336" s="2"/>
      <c r="H336" s="2"/>
      <c r="I336" s="2"/>
      <c r="J336" s="2"/>
      <c r="K336" s="2"/>
      <c r="L336" s="2"/>
    </row>
    <row r="337">
      <c r="G337" s="2"/>
      <c r="H337" s="2"/>
      <c r="I337" s="2"/>
      <c r="J337" s="2"/>
      <c r="K337" s="2"/>
      <c r="L337" s="2"/>
    </row>
    <row r="338">
      <c r="G338" s="2"/>
      <c r="H338" s="2"/>
      <c r="I338" s="2"/>
      <c r="J338" s="2"/>
      <c r="K338" s="2"/>
      <c r="L338" s="2"/>
    </row>
    <row r="339">
      <c r="G339" s="2"/>
      <c r="H339" s="2"/>
      <c r="I339" s="2"/>
      <c r="J339" s="2"/>
      <c r="K339" s="2"/>
      <c r="L339" s="2"/>
    </row>
    <row r="340">
      <c r="G340" s="2"/>
      <c r="H340" s="2"/>
      <c r="I340" s="2"/>
      <c r="J340" s="2"/>
      <c r="K340" s="2"/>
      <c r="L340" s="2"/>
    </row>
    <row r="341">
      <c r="G341" s="2"/>
      <c r="H341" s="2"/>
      <c r="I341" s="2"/>
      <c r="J341" s="2"/>
      <c r="K341" s="2"/>
      <c r="L341" s="2"/>
    </row>
    <row r="342">
      <c r="G342" s="2"/>
      <c r="H342" s="2"/>
      <c r="I342" s="2"/>
      <c r="J342" s="2"/>
      <c r="K342" s="2"/>
      <c r="L342" s="2"/>
    </row>
    <row r="343">
      <c r="G343" s="2"/>
      <c r="H343" s="2"/>
      <c r="I343" s="2"/>
      <c r="J343" s="2"/>
      <c r="K343" s="2"/>
      <c r="L343" s="2"/>
    </row>
    <row r="344">
      <c r="G344" s="2"/>
      <c r="H344" s="2"/>
      <c r="I344" s="2"/>
      <c r="J344" s="2"/>
      <c r="K344" s="2"/>
      <c r="L344" s="2"/>
    </row>
    <row r="345">
      <c r="G345" s="2"/>
      <c r="H345" s="2"/>
      <c r="I345" s="2"/>
      <c r="J345" s="2"/>
      <c r="K345" s="2"/>
      <c r="L345" s="2"/>
    </row>
    <row r="346">
      <c r="G346" s="2"/>
      <c r="H346" s="2"/>
      <c r="I346" s="2"/>
      <c r="J346" s="2"/>
      <c r="K346" s="2"/>
      <c r="L346" s="2"/>
    </row>
    <row r="347">
      <c r="G347" s="2"/>
      <c r="H347" s="2"/>
      <c r="I347" s="2"/>
      <c r="J347" s="2"/>
      <c r="K347" s="2"/>
      <c r="L347" s="2"/>
    </row>
    <row r="348">
      <c r="G348" s="2"/>
      <c r="H348" s="2"/>
      <c r="I348" s="2"/>
      <c r="J348" s="2"/>
      <c r="K348" s="2"/>
      <c r="L348" s="2"/>
    </row>
    <row r="349">
      <c r="G349" s="2"/>
      <c r="H349" s="2"/>
      <c r="I349" s="2"/>
      <c r="J349" s="2"/>
      <c r="K349" s="2"/>
      <c r="L349" s="2"/>
    </row>
    <row r="350">
      <c r="G350" s="2"/>
      <c r="H350" s="2"/>
      <c r="I350" s="2"/>
      <c r="J350" s="2"/>
      <c r="K350" s="2"/>
      <c r="L350" s="2"/>
    </row>
    <row r="351">
      <c r="G351" s="2"/>
      <c r="H351" s="2"/>
      <c r="I351" s="2"/>
      <c r="J351" s="2"/>
      <c r="K351" s="2"/>
      <c r="L351" s="2"/>
    </row>
    <row r="352">
      <c r="G352" s="2"/>
      <c r="H352" s="2"/>
      <c r="I352" s="2"/>
      <c r="J352" s="2"/>
      <c r="K352" s="2"/>
      <c r="L352" s="2"/>
    </row>
    <row r="353">
      <c r="G353" s="2"/>
      <c r="H353" s="2"/>
      <c r="I353" s="2"/>
      <c r="J353" s="2"/>
      <c r="K353" s="2"/>
      <c r="L353" s="2"/>
    </row>
    <row r="354">
      <c r="G354" s="2"/>
      <c r="H354" s="2"/>
      <c r="I354" s="2"/>
      <c r="J354" s="2"/>
      <c r="K354" s="2"/>
      <c r="L354" s="2"/>
    </row>
    <row r="355">
      <c r="G355" s="2"/>
      <c r="H355" s="2"/>
      <c r="I355" s="2"/>
      <c r="J355" s="2"/>
      <c r="K355" s="2"/>
      <c r="L355" s="2"/>
    </row>
    <row r="356">
      <c r="G356" s="2"/>
      <c r="H356" s="2"/>
      <c r="I356" s="2"/>
      <c r="J356" s="2"/>
      <c r="K356" s="2"/>
      <c r="L356" s="2"/>
    </row>
    <row r="357">
      <c r="G357" s="2"/>
      <c r="H357" s="2"/>
      <c r="I357" s="2"/>
      <c r="J357" s="2"/>
      <c r="K357" s="2"/>
      <c r="L357" s="2"/>
    </row>
    <row r="358">
      <c r="G358" s="2"/>
      <c r="H358" s="2"/>
      <c r="I358" s="2"/>
      <c r="J358" s="2"/>
      <c r="K358" s="2"/>
      <c r="L358" s="2"/>
    </row>
    <row r="359">
      <c r="G359" s="2"/>
      <c r="H359" s="2"/>
      <c r="I359" s="2"/>
      <c r="J359" s="2"/>
      <c r="K359" s="2"/>
      <c r="L359" s="2"/>
    </row>
    <row r="360">
      <c r="G360" s="2"/>
      <c r="H360" s="2"/>
      <c r="I360" s="2"/>
      <c r="J360" s="2"/>
      <c r="K360" s="2"/>
      <c r="L360" s="2"/>
    </row>
    <row r="361">
      <c r="G361" s="2"/>
      <c r="H361" s="2"/>
      <c r="I361" s="2"/>
      <c r="J361" s="2"/>
      <c r="K361" s="2"/>
      <c r="L361" s="2"/>
    </row>
    <row r="362">
      <c r="G362" s="2"/>
      <c r="H362" s="2"/>
      <c r="I362" s="2"/>
      <c r="J362" s="2"/>
      <c r="K362" s="2"/>
      <c r="L362" s="2"/>
    </row>
    <row r="363">
      <c r="G363" s="2"/>
      <c r="H363" s="2"/>
      <c r="I363" s="2"/>
      <c r="J363" s="2"/>
      <c r="K363" s="2"/>
      <c r="L363" s="2"/>
    </row>
    <row r="364">
      <c r="G364" s="2"/>
      <c r="H364" s="2"/>
      <c r="I364" s="2"/>
      <c r="J364" s="2"/>
      <c r="K364" s="2"/>
      <c r="L364" s="2"/>
    </row>
    <row r="365">
      <c r="G365" s="2"/>
      <c r="H365" s="2"/>
      <c r="I365" s="2"/>
      <c r="J365" s="2"/>
      <c r="K365" s="2"/>
      <c r="L365" s="2"/>
    </row>
    <row r="366">
      <c r="G366" s="2"/>
      <c r="H366" s="2"/>
      <c r="I366" s="2"/>
      <c r="J366" s="2"/>
      <c r="K366" s="2"/>
      <c r="L366" s="2"/>
    </row>
    <row r="367">
      <c r="G367" s="2"/>
      <c r="H367" s="2"/>
      <c r="I367" s="2"/>
      <c r="J367" s="2"/>
      <c r="K367" s="2"/>
      <c r="L367" s="2"/>
    </row>
    <row r="368">
      <c r="G368" s="2"/>
      <c r="H368" s="2"/>
      <c r="I368" s="2"/>
      <c r="J368" s="2"/>
      <c r="K368" s="2"/>
      <c r="L368" s="2"/>
    </row>
    <row r="369">
      <c r="G369" s="2"/>
      <c r="H369" s="2"/>
      <c r="I369" s="2"/>
      <c r="J369" s="2"/>
      <c r="K369" s="2"/>
      <c r="L369" s="2"/>
    </row>
    <row r="370">
      <c r="G370" s="2"/>
      <c r="H370" s="2"/>
      <c r="I370" s="2"/>
      <c r="J370" s="2"/>
      <c r="K370" s="2"/>
      <c r="L370" s="2"/>
    </row>
    <row r="371">
      <c r="G371" s="2"/>
      <c r="H371" s="2"/>
      <c r="I371" s="2"/>
      <c r="J371" s="2"/>
      <c r="K371" s="2"/>
      <c r="L371" s="2"/>
    </row>
    <row r="372">
      <c r="G372" s="2"/>
      <c r="H372" s="2"/>
      <c r="I372" s="2"/>
      <c r="J372" s="2"/>
      <c r="K372" s="2"/>
      <c r="L372" s="2"/>
    </row>
    <row r="373">
      <c r="G373" s="2"/>
      <c r="H373" s="2"/>
      <c r="I373" s="2"/>
      <c r="J373" s="2"/>
      <c r="K373" s="2"/>
      <c r="L373" s="2"/>
    </row>
    <row r="374">
      <c r="G374" s="2"/>
      <c r="H374" s="2"/>
      <c r="I374" s="2"/>
      <c r="J374" s="2"/>
      <c r="K374" s="2"/>
      <c r="L374" s="2"/>
    </row>
    <row r="375">
      <c r="G375" s="2"/>
      <c r="H375" s="2"/>
      <c r="I375" s="2"/>
      <c r="J375" s="2"/>
      <c r="K375" s="2"/>
      <c r="L375" s="2"/>
    </row>
    <row r="376">
      <c r="G376" s="2"/>
      <c r="H376" s="2"/>
      <c r="I376" s="2"/>
      <c r="J376" s="2"/>
      <c r="K376" s="2"/>
      <c r="L376" s="2"/>
    </row>
    <row r="377">
      <c r="G377" s="2"/>
      <c r="H377" s="2"/>
      <c r="I377" s="2"/>
      <c r="J377" s="2"/>
      <c r="K377" s="2"/>
      <c r="L377" s="2"/>
    </row>
    <row r="378">
      <c r="G378" s="2"/>
      <c r="H378" s="2"/>
      <c r="I378" s="2"/>
      <c r="J378" s="2"/>
      <c r="K378" s="2"/>
      <c r="L378" s="2"/>
    </row>
    <row r="379">
      <c r="G379" s="2"/>
      <c r="H379" s="2"/>
      <c r="I379" s="2"/>
      <c r="J379" s="2"/>
      <c r="K379" s="2"/>
      <c r="L379" s="2"/>
    </row>
    <row r="380">
      <c r="G380" s="2"/>
      <c r="H380" s="2"/>
      <c r="I380" s="2"/>
      <c r="J380" s="2"/>
      <c r="K380" s="2"/>
      <c r="L380" s="2"/>
    </row>
    <row r="381">
      <c r="G381" s="2"/>
      <c r="H381" s="2"/>
      <c r="I381" s="2"/>
      <c r="J381" s="2"/>
      <c r="K381" s="2"/>
      <c r="L381" s="2"/>
    </row>
    <row r="382">
      <c r="G382" s="2"/>
      <c r="H382" s="2"/>
      <c r="I382" s="2"/>
      <c r="J382" s="2"/>
      <c r="K382" s="2"/>
      <c r="L382" s="2"/>
    </row>
    <row r="383">
      <c r="G383" s="2"/>
      <c r="H383" s="2"/>
      <c r="I383" s="2"/>
      <c r="J383" s="2"/>
      <c r="K383" s="2"/>
      <c r="L383" s="2"/>
    </row>
    <row r="384">
      <c r="G384" s="2"/>
      <c r="H384" s="2"/>
      <c r="I384" s="2"/>
      <c r="J384" s="2"/>
      <c r="K384" s="2"/>
      <c r="L384" s="2"/>
    </row>
    <row r="385">
      <c r="G385" s="2"/>
      <c r="H385" s="2"/>
      <c r="I385" s="2"/>
      <c r="J385" s="2"/>
      <c r="K385" s="2"/>
      <c r="L385" s="2"/>
    </row>
    <row r="386">
      <c r="G386" s="2"/>
      <c r="H386" s="2"/>
      <c r="I386" s="2"/>
      <c r="J386" s="2"/>
      <c r="K386" s="2"/>
      <c r="L386" s="2"/>
    </row>
    <row r="387">
      <c r="G387" s="2"/>
      <c r="H387" s="2"/>
      <c r="I387" s="2"/>
      <c r="J387" s="2"/>
      <c r="K387" s="2"/>
      <c r="L387" s="2"/>
    </row>
    <row r="388">
      <c r="G388" s="2"/>
      <c r="H388" s="2"/>
      <c r="I388" s="2"/>
      <c r="J388" s="2"/>
      <c r="K388" s="2"/>
      <c r="L388" s="2"/>
    </row>
    <row r="389">
      <c r="G389" s="2"/>
      <c r="H389" s="2"/>
      <c r="I389" s="2"/>
      <c r="J389" s="2"/>
      <c r="K389" s="2"/>
      <c r="L389" s="2"/>
    </row>
    <row r="390">
      <c r="G390" s="2"/>
      <c r="H390" s="2"/>
      <c r="I390" s="2"/>
      <c r="J390" s="2"/>
      <c r="K390" s="2"/>
      <c r="L390" s="2"/>
    </row>
    <row r="391">
      <c r="G391" s="2"/>
      <c r="H391" s="2"/>
      <c r="I391" s="2"/>
      <c r="J391" s="2"/>
      <c r="K391" s="2"/>
      <c r="L391" s="2"/>
    </row>
    <row r="392">
      <c r="G392" s="2"/>
      <c r="H392" s="2"/>
      <c r="I392" s="2"/>
      <c r="J392" s="2"/>
      <c r="K392" s="2"/>
      <c r="L392" s="2"/>
    </row>
    <row r="393">
      <c r="G393" s="2"/>
      <c r="H393" s="2"/>
      <c r="I393" s="2"/>
      <c r="J393" s="2"/>
      <c r="K393" s="2"/>
      <c r="L393" s="2"/>
    </row>
    <row r="394">
      <c r="G394" s="2"/>
      <c r="H394" s="2"/>
      <c r="I394" s="2"/>
      <c r="J394" s="2"/>
      <c r="K394" s="2"/>
      <c r="L394" s="2"/>
    </row>
    <row r="395">
      <c r="G395" s="2"/>
      <c r="H395" s="2"/>
      <c r="I395" s="2"/>
      <c r="J395" s="2"/>
      <c r="K395" s="2"/>
      <c r="L395" s="2"/>
    </row>
    <row r="396">
      <c r="G396" s="2"/>
      <c r="H396" s="2"/>
      <c r="I396" s="2"/>
      <c r="J396" s="2"/>
      <c r="K396" s="2"/>
      <c r="L396" s="2"/>
    </row>
    <row r="397">
      <c r="G397" s="2"/>
      <c r="H397" s="2"/>
      <c r="I397" s="2"/>
      <c r="J397" s="2"/>
      <c r="K397" s="2"/>
      <c r="L397" s="2"/>
    </row>
    <row r="398">
      <c r="G398" s="2"/>
      <c r="H398" s="2"/>
      <c r="I398" s="2"/>
      <c r="J398" s="2"/>
      <c r="K398" s="2"/>
      <c r="L398" s="2"/>
    </row>
    <row r="399">
      <c r="G399" s="2"/>
      <c r="H399" s="2"/>
      <c r="I399" s="2"/>
      <c r="J399" s="2"/>
      <c r="K399" s="2"/>
      <c r="L399" s="2"/>
    </row>
    <row r="400">
      <c r="G400" s="2"/>
      <c r="H400" s="2"/>
      <c r="I400" s="2"/>
      <c r="J400" s="2"/>
      <c r="K400" s="2"/>
      <c r="L400" s="2"/>
    </row>
    <row r="401">
      <c r="G401" s="2"/>
      <c r="H401" s="2"/>
      <c r="I401" s="2"/>
      <c r="J401" s="2"/>
      <c r="K401" s="2"/>
      <c r="L401" s="2"/>
    </row>
    <row r="402">
      <c r="G402" s="2"/>
      <c r="H402" s="2"/>
      <c r="I402" s="2"/>
      <c r="J402" s="2"/>
      <c r="K402" s="2"/>
      <c r="L402" s="2"/>
    </row>
    <row r="403">
      <c r="G403" s="2"/>
      <c r="H403" s="2"/>
      <c r="I403" s="2"/>
      <c r="J403" s="2"/>
      <c r="K403" s="2"/>
      <c r="L403" s="2"/>
    </row>
    <row r="404">
      <c r="G404" s="2"/>
      <c r="H404" s="2"/>
      <c r="I404" s="2"/>
      <c r="J404" s="2"/>
      <c r="K404" s="2"/>
      <c r="L404" s="2"/>
    </row>
    <row r="405">
      <c r="G405" s="2"/>
      <c r="H405" s="2"/>
      <c r="I405" s="2"/>
      <c r="J405" s="2"/>
      <c r="K405" s="2"/>
      <c r="L405" s="2"/>
    </row>
    <row r="406">
      <c r="G406" s="2"/>
      <c r="H406" s="2"/>
      <c r="I406" s="2"/>
      <c r="J406" s="2"/>
      <c r="K406" s="2"/>
      <c r="L406" s="2"/>
    </row>
    <row r="407">
      <c r="G407" s="2"/>
      <c r="H407" s="2"/>
      <c r="I407" s="2"/>
      <c r="J407" s="2"/>
      <c r="K407" s="2"/>
      <c r="L407" s="2"/>
    </row>
    <row r="408">
      <c r="G408" s="2"/>
      <c r="H408" s="2"/>
      <c r="I408" s="2"/>
      <c r="J408" s="2"/>
      <c r="K408" s="2"/>
      <c r="L408" s="2"/>
    </row>
    <row r="409">
      <c r="G409" s="2"/>
      <c r="H409" s="2"/>
      <c r="I409" s="2"/>
      <c r="J409" s="2"/>
      <c r="K409" s="2"/>
      <c r="L409" s="2"/>
    </row>
    <row r="410">
      <c r="G410" s="2"/>
      <c r="H410" s="2"/>
      <c r="I410" s="2"/>
      <c r="J410" s="2"/>
      <c r="K410" s="2"/>
      <c r="L410" s="2"/>
    </row>
    <row r="411">
      <c r="G411" s="2"/>
      <c r="H411" s="2"/>
      <c r="I411" s="2"/>
      <c r="J411" s="2"/>
      <c r="K411" s="2"/>
      <c r="L411" s="2"/>
    </row>
    <row r="412">
      <c r="G412" s="2"/>
      <c r="H412" s="2"/>
      <c r="I412" s="2"/>
      <c r="J412" s="2"/>
      <c r="K412" s="2"/>
      <c r="L412" s="2"/>
    </row>
    <row r="413">
      <c r="G413" s="2"/>
      <c r="H413" s="2"/>
      <c r="I413" s="2"/>
      <c r="J413" s="2"/>
      <c r="K413" s="2"/>
      <c r="L413" s="2"/>
    </row>
    <row r="414">
      <c r="G414" s="2"/>
      <c r="H414" s="2"/>
      <c r="I414" s="2"/>
      <c r="J414" s="2"/>
      <c r="K414" s="2"/>
      <c r="L414" s="2"/>
    </row>
    <row r="415">
      <c r="G415" s="2"/>
      <c r="H415" s="2"/>
      <c r="I415" s="2"/>
      <c r="J415" s="2"/>
      <c r="K415" s="2"/>
      <c r="L415" s="2"/>
    </row>
    <row r="416">
      <c r="G416" s="2"/>
      <c r="H416" s="2"/>
      <c r="I416" s="2"/>
      <c r="J416" s="2"/>
      <c r="K416" s="2"/>
      <c r="L416" s="2"/>
    </row>
    <row r="417">
      <c r="G417" s="2"/>
      <c r="H417" s="2"/>
      <c r="I417" s="2"/>
      <c r="J417" s="2"/>
      <c r="K417" s="2"/>
      <c r="L417" s="2"/>
    </row>
    <row r="418">
      <c r="G418" s="2"/>
      <c r="H418" s="2"/>
      <c r="I418" s="2"/>
      <c r="J418" s="2"/>
      <c r="K418" s="2"/>
      <c r="L418" s="2"/>
    </row>
    <row r="419">
      <c r="G419" s="2"/>
      <c r="H419" s="2"/>
      <c r="I419" s="2"/>
      <c r="J419" s="2"/>
      <c r="K419" s="2"/>
      <c r="L419" s="2"/>
    </row>
    <row r="420">
      <c r="G420" s="2"/>
      <c r="H420" s="2"/>
      <c r="I420" s="2"/>
      <c r="J420" s="2"/>
      <c r="K420" s="2"/>
      <c r="L420" s="2"/>
    </row>
    <row r="421">
      <c r="G421" s="2"/>
      <c r="H421" s="2"/>
      <c r="I421" s="2"/>
      <c r="J421" s="2"/>
      <c r="K421" s="2"/>
      <c r="L421" s="2"/>
    </row>
    <row r="422">
      <c r="G422" s="2"/>
      <c r="H422" s="2"/>
      <c r="I422" s="2"/>
      <c r="J422" s="2"/>
      <c r="K422" s="2"/>
      <c r="L422" s="2"/>
    </row>
    <row r="423">
      <c r="G423" s="2"/>
      <c r="H423" s="2"/>
      <c r="I423" s="2"/>
      <c r="J423" s="2"/>
      <c r="K423" s="2"/>
      <c r="L423" s="2"/>
    </row>
    <row r="424">
      <c r="G424" s="2"/>
      <c r="H424" s="2"/>
      <c r="I424" s="2"/>
      <c r="J424" s="2"/>
      <c r="K424" s="2"/>
      <c r="L424" s="2"/>
    </row>
    <row r="425">
      <c r="G425" s="2"/>
      <c r="H425" s="2"/>
      <c r="I425" s="2"/>
      <c r="J425" s="2"/>
      <c r="K425" s="2"/>
      <c r="L425" s="2"/>
    </row>
    <row r="426">
      <c r="G426" s="2"/>
      <c r="H426" s="2"/>
      <c r="I426" s="2"/>
      <c r="J426" s="2"/>
      <c r="K426" s="2"/>
      <c r="L426" s="2"/>
    </row>
    <row r="427">
      <c r="G427" s="2"/>
      <c r="H427" s="2"/>
      <c r="I427" s="2"/>
      <c r="J427" s="2"/>
      <c r="K427" s="2"/>
      <c r="L427" s="2"/>
    </row>
    <row r="428">
      <c r="G428" s="2"/>
      <c r="H428" s="2"/>
      <c r="I428" s="2"/>
      <c r="J428" s="2"/>
      <c r="K428" s="2"/>
      <c r="L428" s="2"/>
    </row>
    <row r="429">
      <c r="G429" s="2"/>
      <c r="H429" s="2"/>
      <c r="I429" s="2"/>
      <c r="J429" s="2"/>
      <c r="K429" s="2"/>
      <c r="L429" s="2"/>
    </row>
    <row r="430">
      <c r="G430" s="2"/>
      <c r="H430" s="2"/>
      <c r="I430" s="2"/>
      <c r="J430" s="2"/>
      <c r="K430" s="2"/>
      <c r="L430" s="2"/>
    </row>
    <row r="431">
      <c r="G431" s="2"/>
      <c r="H431" s="2"/>
      <c r="I431" s="2"/>
      <c r="J431" s="2"/>
      <c r="K431" s="2"/>
      <c r="L431" s="2"/>
    </row>
    <row r="432">
      <c r="G432" s="2"/>
      <c r="H432" s="2"/>
      <c r="I432" s="2"/>
      <c r="J432" s="2"/>
      <c r="K432" s="2"/>
      <c r="L432" s="2"/>
    </row>
    <row r="433">
      <c r="G433" s="2"/>
      <c r="H433" s="2"/>
      <c r="I433" s="2"/>
      <c r="J433" s="2"/>
      <c r="K433" s="2"/>
      <c r="L433" s="2"/>
    </row>
    <row r="434">
      <c r="G434" s="2"/>
      <c r="H434" s="2"/>
      <c r="I434" s="2"/>
      <c r="J434" s="2"/>
      <c r="K434" s="2"/>
      <c r="L434" s="2"/>
    </row>
    <row r="435">
      <c r="G435" s="2"/>
      <c r="H435" s="2"/>
      <c r="I435" s="2"/>
      <c r="J435" s="2"/>
      <c r="K435" s="2"/>
      <c r="L435" s="2"/>
    </row>
    <row r="436">
      <c r="G436" s="2"/>
      <c r="H436" s="2"/>
      <c r="I436" s="2"/>
      <c r="J436" s="2"/>
      <c r="K436" s="2"/>
      <c r="L436" s="2"/>
    </row>
    <row r="437">
      <c r="G437" s="2"/>
      <c r="H437" s="2"/>
      <c r="I437" s="2"/>
      <c r="J437" s="2"/>
      <c r="K437" s="2"/>
      <c r="L437" s="2"/>
    </row>
    <row r="438">
      <c r="G438" s="2"/>
      <c r="H438" s="2"/>
      <c r="I438" s="2"/>
      <c r="J438" s="2"/>
      <c r="K438" s="2"/>
      <c r="L438" s="2"/>
    </row>
    <row r="439">
      <c r="G439" s="2"/>
      <c r="H439" s="2"/>
      <c r="I439" s="2"/>
      <c r="J439" s="2"/>
      <c r="K439" s="2"/>
      <c r="L439" s="2"/>
    </row>
    <row r="440">
      <c r="G440" s="2"/>
      <c r="H440" s="2"/>
      <c r="I440" s="2"/>
      <c r="J440" s="2"/>
      <c r="K440" s="2"/>
      <c r="L440" s="2"/>
    </row>
    <row r="441">
      <c r="G441" s="2"/>
      <c r="H441" s="2"/>
      <c r="I441" s="2"/>
      <c r="J441" s="2"/>
      <c r="K441" s="2"/>
      <c r="L441" s="2"/>
    </row>
    <row r="442">
      <c r="G442" s="2"/>
      <c r="H442" s="2"/>
      <c r="I442" s="2"/>
      <c r="J442" s="2"/>
      <c r="K442" s="2"/>
      <c r="L442" s="2"/>
    </row>
    <row r="443">
      <c r="G443" s="2"/>
      <c r="H443" s="2"/>
      <c r="I443" s="2"/>
      <c r="J443" s="2"/>
      <c r="K443" s="2"/>
      <c r="L443" s="2"/>
    </row>
    <row r="444">
      <c r="G444" s="2"/>
      <c r="H444" s="2"/>
      <c r="I444" s="2"/>
      <c r="J444" s="2"/>
      <c r="K444" s="2"/>
      <c r="L444" s="2"/>
    </row>
    <row r="445">
      <c r="G445" s="2"/>
      <c r="H445" s="2"/>
      <c r="I445" s="2"/>
      <c r="J445" s="2"/>
      <c r="K445" s="2"/>
      <c r="L445" s="2"/>
    </row>
    <row r="446">
      <c r="G446" s="2"/>
      <c r="H446" s="2"/>
      <c r="I446" s="2"/>
      <c r="J446" s="2"/>
      <c r="K446" s="2"/>
      <c r="L446" s="2"/>
    </row>
    <row r="447">
      <c r="G447" s="2"/>
      <c r="H447" s="2"/>
      <c r="I447" s="2"/>
      <c r="J447" s="2"/>
      <c r="K447" s="2"/>
      <c r="L447" s="2"/>
    </row>
    <row r="448">
      <c r="G448" s="2"/>
      <c r="H448" s="2"/>
      <c r="I448" s="2"/>
      <c r="J448" s="2"/>
      <c r="K448" s="2"/>
      <c r="L448" s="2"/>
    </row>
    <row r="449">
      <c r="G449" s="2"/>
      <c r="H449" s="2"/>
      <c r="I449" s="2"/>
      <c r="J449" s="2"/>
      <c r="K449" s="2"/>
      <c r="L449" s="2"/>
    </row>
    <row r="450">
      <c r="G450" s="2"/>
      <c r="H450" s="2"/>
      <c r="I450" s="2"/>
      <c r="J450" s="2"/>
      <c r="K450" s="2"/>
      <c r="L450" s="2"/>
    </row>
    <row r="451">
      <c r="G451" s="2"/>
      <c r="H451" s="2"/>
      <c r="I451" s="2"/>
      <c r="J451" s="2"/>
      <c r="K451" s="2"/>
      <c r="L451" s="2"/>
    </row>
    <row r="452">
      <c r="G452" s="2"/>
      <c r="H452" s="2"/>
      <c r="I452" s="2"/>
      <c r="J452" s="2"/>
      <c r="K452" s="2"/>
      <c r="L452" s="2"/>
    </row>
    <row r="453">
      <c r="G453" s="2"/>
      <c r="H453" s="2"/>
      <c r="I453" s="2"/>
      <c r="J453" s="2"/>
      <c r="K453" s="2"/>
      <c r="L453" s="2"/>
    </row>
    <row r="454">
      <c r="G454" s="2"/>
      <c r="H454" s="2"/>
      <c r="I454" s="2"/>
      <c r="J454" s="2"/>
      <c r="K454" s="2"/>
      <c r="L454" s="2"/>
    </row>
    <row r="455">
      <c r="G455" s="2"/>
      <c r="H455" s="2"/>
      <c r="I455" s="2"/>
      <c r="J455" s="2"/>
      <c r="K455" s="2"/>
      <c r="L455" s="2"/>
    </row>
    <row r="456">
      <c r="G456" s="2"/>
      <c r="H456" s="2"/>
      <c r="I456" s="2"/>
      <c r="J456" s="2"/>
      <c r="K456" s="2"/>
      <c r="L456" s="2"/>
    </row>
    <row r="457">
      <c r="G457" s="2"/>
      <c r="H457" s="2"/>
      <c r="I457" s="2"/>
      <c r="J457" s="2"/>
      <c r="K457" s="2"/>
      <c r="L457" s="2"/>
    </row>
    <row r="458">
      <c r="G458" s="2"/>
      <c r="H458" s="2"/>
      <c r="I458" s="2"/>
      <c r="J458" s="2"/>
      <c r="K458" s="2"/>
      <c r="L458" s="2"/>
    </row>
    <row r="459">
      <c r="G459" s="2"/>
      <c r="H459" s="2"/>
      <c r="I459" s="2"/>
      <c r="J459" s="2"/>
      <c r="K459" s="2"/>
      <c r="L459" s="2"/>
    </row>
    <row r="460">
      <c r="G460" s="2"/>
      <c r="H460" s="2"/>
      <c r="I460" s="2"/>
      <c r="J460" s="2"/>
      <c r="K460" s="2"/>
      <c r="L460" s="2"/>
    </row>
    <row r="461">
      <c r="G461" s="2"/>
      <c r="H461" s="2"/>
      <c r="I461" s="2"/>
      <c r="J461" s="2"/>
      <c r="K461" s="2"/>
      <c r="L461" s="2"/>
    </row>
    <row r="462">
      <c r="G462" s="2"/>
      <c r="H462" s="2"/>
      <c r="I462" s="2"/>
      <c r="J462" s="2"/>
      <c r="K462" s="2"/>
      <c r="L462" s="2"/>
    </row>
    <row r="463">
      <c r="G463" s="2"/>
      <c r="H463" s="2"/>
      <c r="I463" s="2"/>
      <c r="J463" s="2"/>
      <c r="K463" s="2"/>
      <c r="L463" s="2"/>
    </row>
    <row r="464">
      <c r="G464" s="2"/>
      <c r="H464" s="2"/>
      <c r="I464" s="2"/>
      <c r="J464" s="2"/>
      <c r="K464" s="2"/>
      <c r="L464" s="2"/>
    </row>
    <row r="465">
      <c r="G465" s="2"/>
      <c r="H465" s="2"/>
      <c r="I465" s="2"/>
      <c r="J465" s="2"/>
      <c r="K465" s="2"/>
      <c r="L465" s="2"/>
    </row>
    <row r="466">
      <c r="G466" s="2"/>
      <c r="H466" s="2"/>
      <c r="I466" s="2"/>
      <c r="J466" s="2"/>
      <c r="K466" s="2"/>
      <c r="L466" s="2"/>
    </row>
    <row r="467">
      <c r="G467" s="2"/>
      <c r="H467" s="2"/>
      <c r="I467" s="2"/>
      <c r="J467" s="2"/>
      <c r="K467" s="2"/>
      <c r="L467" s="2"/>
    </row>
    <row r="468">
      <c r="G468" s="2"/>
      <c r="H468" s="2"/>
      <c r="I468" s="2"/>
      <c r="J468" s="2"/>
      <c r="K468" s="2"/>
      <c r="L468" s="2"/>
    </row>
    <row r="469">
      <c r="G469" s="2"/>
      <c r="H469" s="2"/>
      <c r="I469" s="2"/>
      <c r="J469" s="2"/>
      <c r="K469" s="2"/>
      <c r="L469" s="2"/>
    </row>
    <row r="470">
      <c r="G470" s="2"/>
      <c r="H470" s="2"/>
      <c r="I470" s="2"/>
      <c r="J470" s="2"/>
      <c r="K470" s="2"/>
      <c r="L470" s="2"/>
    </row>
    <row r="471">
      <c r="G471" s="2"/>
      <c r="H471" s="2"/>
      <c r="I471" s="2"/>
      <c r="J471" s="2"/>
      <c r="K471" s="2"/>
      <c r="L471" s="2"/>
    </row>
    <row r="472">
      <c r="G472" s="2"/>
      <c r="H472" s="2"/>
      <c r="I472" s="2"/>
      <c r="J472" s="2"/>
      <c r="K472" s="2"/>
      <c r="L472" s="2"/>
    </row>
    <row r="473">
      <c r="G473" s="2"/>
      <c r="H473" s="2"/>
      <c r="I473" s="2"/>
      <c r="J473" s="2"/>
      <c r="K473" s="2"/>
      <c r="L473" s="2"/>
    </row>
    <row r="474">
      <c r="G474" s="2"/>
      <c r="H474" s="2"/>
      <c r="I474" s="2"/>
      <c r="J474" s="2"/>
      <c r="K474" s="2"/>
      <c r="L474" s="2"/>
    </row>
    <row r="475">
      <c r="G475" s="2"/>
      <c r="H475" s="2"/>
      <c r="I475" s="2"/>
      <c r="J475" s="2"/>
      <c r="K475" s="2"/>
      <c r="L475" s="2"/>
    </row>
    <row r="476">
      <c r="G476" s="2"/>
      <c r="H476" s="2"/>
      <c r="I476" s="2"/>
      <c r="J476" s="2"/>
      <c r="K476" s="2"/>
      <c r="L476" s="2"/>
    </row>
    <row r="477">
      <c r="G477" s="2"/>
      <c r="H477" s="2"/>
      <c r="I477" s="2"/>
      <c r="J477" s="2"/>
      <c r="K477" s="2"/>
      <c r="L477" s="2"/>
    </row>
    <row r="478">
      <c r="G478" s="2"/>
      <c r="H478" s="2"/>
      <c r="I478" s="2"/>
      <c r="J478" s="2"/>
      <c r="K478" s="2"/>
      <c r="L478" s="2"/>
    </row>
    <row r="479">
      <c r="G479" s="2"/>
      <c r="H479" s="2"/>
      <c r="I479" s="2"/>
      <c r="J479" s="2"/>
      <c r="K479" s="2"/>
      <c r="L479" s="2"/>
    </row>
    <row r="480">
      <c r="G480" s="2"/>
      <c r="H480" s="2"/>
      <c r="I480" s="2"/>
      <c r="J480" s="2"/>
      <c r="K480" s="2"/>
      <c r="L480" s="2"/>
    </row>
    <row r="481">
      <c r="G481" s="2"/>
      <c r="H481" s="2"/>
      <c r="I481" s="2"/>
      <c r="J481" s="2"/>
      <c r="K481" s="2"/>
      <c r="L481" s="2"/>
    </row>
    <row r="482">
      <c r="G482" s="2"/>
      <c r="H482" s="2"/>
      <c r="I482" s="2"/>
      <c r="J482" s="2"/>
      <c r="K482" s="2"/>
      <c r="L482" s="2"/>
    </row>
    <row r="483">
      <c r="G483" s="2"/>
      <c r="H483" s="2"/>
      <c r="I483" s="2"/>
      <c r="J483" s="2"/>
      <c r="K483" s="2"/>
      <c r="L483" s="2"/>
    </row>
    <row r="484">
      <c r="G484" s="2"/>
      <c r="H484" s="2"/>
      <c r="I484" s="2"/>
      <c r="J484" s="2"/>
      <c r="K484" s="2"/>
      <c r="L484" s="2"/>
    </row>
    <row r="485">
      <c r="G485" s="2"/>
      <c r="H485" s="2"/>
      <c r="I485" s="2"/>
      <c r="J485" s="2"/>
      <c r="K485" s="2"/>
      <c r="L485" s="2"/>
    </row>
    <row r="486">
      <c r="G486" s="2"/>
      <c r="H486" s="2"/>
      <c r="I486" s="2"/>
      <c r="J486" s="2"/>
      <c r="K486" s="2"/>
      <c r="L486" s="2"/>
    </row>
    <row r="487">
      <c r="G487" s="2"/>
      <c r="H487" s="2"/>
      <c r="I487" s="2"/>
      <c r="J487" s="2"/>
      <c r="K487" s="2"/>
      <c r="L487" s="2"/>
    </row>
    <row r="488">
      <c r="G488" s="2"/>
      <c r="H488" s="2"/>
      <c r="I488" s="2"/>
      <c r="J488" s="2"/>
      <c r="K488" s="2"/>
      <c r="L488" s="2"/>
    </row>
    <row r="489">
      <c r="G489" s="2"/>
      <c r="H489" s="2"/>
      <c r="I489" s="2"/>
      <c r="J489" s="2"/>
      <c r="K489" s="2"/>
      <c r="L489" s="2"/>
    </row>
    <row r="490">
      <c r="G490" s="2"/>
      <c r="H490" s="2"/>
      <c r="I490" s="2"/>
      <c r="J490" s="2"/>
      <c r="K490" s="2"/>
      <c r="L490" s="2"/>
    </row>
    <row r="491">
      <c r="G491" s="2"/>
      <c r="H491" s="2"/>
      <c r="I491" s="2"/>
      <c r="J491" s="2"/>
      <c r="K491" s="2"/>
      <c r="L491" s="2"/>
    </row>
    <row r="492">
      <c r="G492" s="2"/>
      <c r="H492" s="2"/>
      <c r="I492" s="2"/>
      <c r="J492" s="2"/>
      <c r="K492" s="2"/>
      <c r="L492" s="2"/>
    </row>
    <row r="493">
      <c r="G493" s="2"/>
      <c r="H493" s="2"/>
      <c r="I493" s="2"/>
      <c r="J493" s="2"/>
      <c r="K493" s="2"/>
      <c r="L493" s="2"/>
    </row>
    <row r="494">
      <c r="G494" s="2"/>
      <c r="H494" s="2"/>
      <c r="I494" s="2"/>
      <c r="J494" s="2"/>
      <c r="K494" s="2"/>
      <c r="L494" s="2"/>
    </row>
    <row r="495">
      <c r="G495" s="2"/>
      <c r="H495" s="2"/>
      <c r="I495" s="2"/>
      <c r="J495" s="2"/>
      <c r="K495" s="2"/>
      <c r="L495" s="2"/>
    </row>
    <row r="496">
      <c r="G496" s="2"/>
      <c r="H496" s="2"/>
      <c r="I496" s="2"/>
      <c r="J496" s="2"/>
      <c r="K496" s="2"/>
      <c r="L496" s="2"/>
    </row>
    <row r="497">
      <c r="G497" s="2"/>
      <c r="H497" s="2"/>
      <c r="I497" s="2"/>
      <c r="J497" s="2"/>
      <c r="K497" s="2"/>
      <c r="L497" s="2"/>
    </row>
    <row r="498">
      <c r="G498" s="2"/>
      <c r="H498" s="2"/>
      <c r="I498" s="2"/>
      <c r="J498" s="2"/>
      <c r="K498" s="2"/>
      <c r="L498" s="2"/>
    </row>
    <row r="499">
      <c r="G499" s="2"/>
      <c r="H499" s="2"/>
      <c r="I499" s="2"/>
      <c r="J499" s="2"/>
      <c r="K499" s="2"/>
      <c r="L499" s="2"/>
    </row>
    <row r="500">
      <c r="G500" s="2"/>
      <c r="H500" s="2"/>
      <c r="I500" s="2"/>
      <c r="J500" s="2"/>
      <c r="K500" s="2"/>
      <c r="L500" s="2"/>
    </row>
    <row r="501">
      <c r="G501" s="2"/>
      <c r="H501" s="2"/>
      <c r="I501" s="2"/>
      <c r="J501" s="2"/>
      <c r="K501" s="2"/>
      <c r="L501" s="2"/>
    </row>
    <row r="502">
      <c r="G502" s="2"/>
      <c r="H502" s="2"/>
      <c r="I502" s="2"/>
      <c r="J502" s="2"/>
      <c r="K502" s="2"/>
      <c r="L502" s="2"/>
    </row>
    <row r="503">
      <c r="G503" s="2"/>
      <c r="H503" s="2"/>
      <c r="I503" s="2"/>
      <c r="J503" s="2"/>
      <c r="K503" s="2"/>
      <c r="L503" s="2"/>
    </row>
    <row r="504">
      <c r="G504" s="2"/>
      <c r="H504" s="2"/>
      <c r="I504" s="2"/>
      <c r="J504" s="2"/>
      <c r="K504" s="2"/>
      <c r="L504" s="2"/>
    </row>
    <row r="505">
      <c r="G505" s="2"/>
      <c r="H505" s="2"/>
      <c r="I505" s="2"/>
      <c r="J505" s="2"/>
      <c r="K505" s="2"/>
      <c r="L505" s="2"/>
    </row>
    <row r="506">
      <c r="G506" s="2"/>
      <c r="H506" s="2"/>
      <c r="I506" s="2"/>
      <c r="J506" s="2"/>
      <c r="K506" s="2"/>
      <c r="L506" s="2"/>
    </row>
    <row r="507">
      <c r="G507" s="2"/>
      <c r="H507" s="2"/>
      <c r="I507" s="2"/>
      <c r="J507" s="2"/>
      <c r="K507" s="2"/>
      <c r="L507" s="2"/>
    </row>
    <row r="508">
      <c r="G508" s="2"/>
      <c r="H508" s="2"/>
      <c r="I508" s="2"/>
      <c r="J508" s="2"/>
      <c r="K508" s="2"/>
      <c r="L508" s="2"/>
    </row>
    <row r="509">
      <c r="G509" s="2"/>
      <c r="H509" s="2"/>
      <c r="I509" s="2"/>
      <c r="J509" s="2"/>
      <c r="K509" s="2"/>
      <c r="L509" s="2"/>
    </row>
    <row r="510">
      <c r="G510" s="2"/>
      <c r="H510" s="2"/>
      <c r="I510" s="2"/>
      <c r="J510" s="2"/>
      <c r="K510" s="2"/>
      <c r="L510" s="2"/>
    </row>
    <row r="511">
      <c r="G511" s="2"/>
      <c r="H511" s="2"/>
      <c r="I511" s="2"/>
      <c r="J511" s="2"/>
      <c r="K511" s="2"/>
      <c r="L511" s="2"/>
    </row>
    <row r="512">
      <c r="G512" s="2"/>
      <c r="H512" s="2"/>
      <c r="I512" s="2"/>
      <c r="J512" s="2"/>
      <c r="K512" s="2"/>
      <c r="L512" s="2"/>
    </row>
    <row r="513">
      <c r="G513" s="2"/>
      <c r="H513" s="2"/>
      <c r="I513" s="2"/>
      <c r="J513" s="2"/>
      <c r="K513" s="2"/>
      <c r="L513" s="2"/>
    </row>
    <row r="514">
      <c r="G514" s="2"/>
      <c r="H514" s="2"/>
      <c r="I514" s="2"/>
      <c r="J514" s="2"/>
      <c r="K514" s="2"/>
      <c r="L514" s="2"/>
    </row>
    <row r="515">
      <c r="G515" s="2"/>
      <c r="H515" s="2"/>
      <c r="I515" s="2"/>
      <c r="J515" s="2"/>
      <c r="K515" s="2"/>
      <c r="L515" s="2"/>
    </row>
    <row r="516">
      <c r="G516" s="2"/>
      <c r="H516" s="2"/>
      <c r="I516" s="2"/>
      <c r="J516" s="2"/>
      <c r="K516" s="2"/>
      <c r="L516" s="2"/>
    </row>
    <row r="517">
      <c r="G517" s="2"/>
      <c r="H517" s="2"/>
      <c r="I517" s="2"/>
      <c r="J517" s="2"/>
      <c r="K517" s="2"/>
      <c r="L517" s="2"/>
    </row>
    <row r="518">
      <c r="G518" s="2"/>
      <c r="H518" s="2"/>
      <c r="I518" s="2"/>
      <c r="J518" s="2"/>
      <c r="K518" s="2"/>
      <c r="L518" s="2"/>
    </row>
    <row r="519">
      <c r="G519" s="2"/>
      <c r="H519" s="2"/>
      <c r="I519" s="2"/>
      <c r="J519" s="2"/>
      <c r="K519" s="2"/>
      <c r="L519" s="2"/>
    </row>
    <row r="520">
      <c r="G520" s="2"/>
      <c r="H520" s="2"/>
      <c r="I520" s="2"/>
      <c r="J520" s="2"/>
      <c r="K520" s="2"/>
      <c r="L520" s="2"/>
    </row>
    <row r="521">
      <c r="G521" s="2"/>
      <c r="H521" s="2"/>
      <c r="I521" s="2"/>
      <c r="J521" s="2"/>
      <c r="K521" s="2"/>
      <c r="L521" s="2"/>
    </row>
    <row r="522">
      <c r="G522" s="2"/>
      <c r="H522" s="2"/>
      <c r="I522" s="2"/>
      <c r="J522" s="2"/>
      <c r="K522" s="2"/>
      <c r="L522" s="2"/>
    </row>
    <row r="523">
      <c r="G523" s="2"/>
      <c r="H523" s="2"/>
      <c r="I523" s="2"/>
      <c r="J523" s="2"/>
      <c r="K523" s="2"/>
      <c r="L523" s="2"/>
    </row>
    <row r="524">
      <c r="G524" s="2"/>
      <c r="H524" s="2"/>
      <c r="I524" s="2"/>
      <c r="J524" s="2"/>
      <c r="K524" s="2"/>
      <c r="L524" s="2"/>
    </row>
    <row r="525">
      <c r="G525" s="2"/>
      <c r="H525" s="2"/>
      <c r="I525" s="2"/>
      <c r="J525" s="2"/>
      <c r="K525" s="2"/>
      <c r="L525" s="2"/>
    </row>
    <row r="526">
      <c r="G526" s="2"/>
      <c r="H526" s="2"/>
      <c r="I526" s="2"/>
      <c r="J526" s="2"/>
      <c r="K526" s="2"/>
      <c r="L526" s="2"/>
    </row>
    <row r="527">
      <c r="G527" s="2"/>
      <c r="H527" s="2"/>
      <c r="I527" s="2"/>
      <c r="J527" s="2"/>
      <c r="K527" s="2"/>
      <c r="L527" s="2"/>
    </row>
    <row r="528">
      <c r="G528" s="2"/>
      <c r="H528" s="2"/>
      <c r="I528" s="2"/>
      <c r="J528" s="2"/>
      <c r="K528" s="2"/>
      <c r="L528" s="2"/>
    </row>
    <row r="529">
      <c r="G529" s="2"/>
      <c r="H529" s="2"/>
      <c r="I529" s="2"/>
      <c r="J529" s="2"/>
      <c r="K529" s="2"/>
      <c r="L529" s="2"/>
    </row>
    <row r="530">
      <c r="G530" s="2"/>
      <c r="H530" s="2"/>
      <c r="I530" s="2"/>
      <c r="J530" s="2"/>
      <c r="K530" s="2"/>
      <c r="L530" s="2"/>
    </row>
    <row r="531">
      <c r="G531" s="2"/>
      <c r="H531" s="2"/>
      <c r="I531" s="2"/>
      <c r="J531" s="2"/>
      <c r="K531" s="2"/>
      <c r="L531" s="2"/>
    </row>
    <row r="532">
      <c r="G532" s="2"/>
      <c r="H532" s="2"/>
      <c r="I532" s="2"/>
      <c r="J532" s="2"/>
      <c r="K532" s="2"/>
      <c r="L532" s="2"/>
    </row>
    <row r="533">
      <c r="G533" s="2"/>
      <c r="H533" s="2"/>
      <c r="I533" s="2"/>
      <c r="J533" s="2"/>
      <c r="K533" s="2"/>
      <c r="L533" s="2"/>
    </row>
    <row r="534">
      <c r="G534" s="2"/>
      <c r="H534" s="2"/>
      <c r="I534" s="2"/>
      <c r="J534" s="2"/>
      <c r="K534" s="2"/>
      <c r="L534" s="2"/>
    </row>
    <row r="535">
      <c r="G535" s="2"/>
      <c r="H535" s="2"/>
      <c r="I535" s="2"/>
      <c r="J535" s="2"/>
      <c r="K535" s="2"/>
      <c r="L535" s="2"/>
    </row>
    <row r="536">
      <c r="G536" s="2"/>
      <c r="H536" s="2"/>
      <c r="I536" s="2"/>
      <c r="J536" s="2"/>
      <c r="K536" s="2"/>
      <c r="L536" s="2"/>
    </row>
    <row r="537">
      <c r="G537" s="2"/>
      <c r="H537" s="2"/>
      <c r="I537" s="2"/>
      <c r="J537" s="2"/>
      <c r="K537" s="2"/>
      <c r="L537" s="2"/>
    </row>
    <row r="538">
      <c r="G538" s="2"/>
      <c r="H538" s="2"/>
      <c r="I538" s="2"/>
      <c r="J538" s="2"/>
      <c r="K538" s="2"/>
      <c r="L538" s="2"/>
    </row>
    <row r="539">
      <c r="G539" s="2"/>
      <c r="H539" s="2"/>
      <c r="I539" s="2"/>
      <c r="J539" s="2"/>
      <c r="K539" s="2"/>
      <c r="L539" s="2"/>
    </row>
    <row r="540">
      <c r="G540" s="2"/>
      <c r="H540" s="2"/>
      <c r="I540" s="2"/>
      <c r="J540" s="2"/>
      <c r="K540" s="2"/>
      <c r="L540" s="2"/>
    </row>
    <row r="541">
      <c r="G541" s="2"/>
      <c r="H541" s="2"/>
      <c r="I541" s="2"/>
      <c r="J541" s="2"/>
      <c r="K541" s="2"/>
      <c r="L541" s="2"/>
    </row>
    <row r="542">
      <c r="G542" s="2"/>
      <c r="H542" s="2"/>
      <c r="I542" s="2"/>
      <c r="J542" s="2"/>
      <c r="K542" s="2"/>
      <c r="L542" s="2"/>
    </row>
    <row r="543">
      <c r="G543" s="2"/>
      <c r="H543" s="2"/>
      <c r="I543" s="2"/>
      <c r="J543" s="2"/>
      <c r="K543" s="2"/>
      <c r="L543" s="2"/>
    </row>
    <row r="544">
      <c r="G544" s="2"/>
      <c r="H544" s="2"/>
      <c r="I544" s="2"/>
      <c r="J544" s="2"/>
      <c r="K544" s="2"/>
      <c r="L544" s="2"/>
    </row>
    <row r="545">
      <c r="G545" s="2"/>
      <c r="H545" s="2"/>
      <c r="I545" s="2"/>
      <c r="J545" s="2"/>
      <c r="K545" s="2"/>
      <c r="L545" s="2"/>
    </row>
    <row r="546">
      <c r="G546" s="2"/>
      <c r="H546" s="2"/>
      <c r="I546" s="2"/>
      <c r="J546" s="2"/>
      <c r="K546" s="2"/>
      <c r="L546" s="2"/>
    </row>
    <row r="547">
      <c r="G547" s="2"/>
      <c r="H547" s="2"/>
      <c r="I547" s="2"/>
      <c r="J547" s="2"/>
      <c r="K547" s="2"/>
      <c r="L547" s="2"/>
    </row>
    <row r="548">
      <c r="G548" s="2"/>
      <c r="H548" s="2"/>
      <c r="I548" s="2"/>
      <c r="J548" s="2"/>
      <c r="K548" s="2"/>
      <c r="L548" s="2"/>
    </row>
    <row r="549">
      <c r="G549" s="2"/>
      <c r="H549" s="2"/>
      <c r="I549" s="2"/>
      <c r="J549" s="2"/>
      <c r="K549" s="2"/>
      <c r="L549" s="2"/>
    </row>
    <row r="550">
      <c r="G550" s="2"/>
      <c r="H550" s="2"/>
      <c r="I550" s="2"/>
      <c r="J550" s="2"/>
      <c r="K550" s="2"/>
      <c r="L550" s="2"/>
    </row>
    <row r="551">
      <c r="G551" s="2"/>
      <c r="H551" s="2"/>
      <c r="I551" s="2"/>
      <c r="J551" s="2"/>
      <c r="K551" s="2"/>
      <c r="L551" s="2"/>
    </row>
    <row r="552">
      <c r="G552" s="2"/>
      <c r="H552" s="2"/>
      <c r="I552" s="2"/>
      <c r="J552" s="2"/>
      <c r="K552" s="2"/>
      <c r="L552" s="2"/>
    </row>
    <row r="553">
      <c r="G553" s="2"/>
      <c r="H553" s="2"/>
      <c r="I553" s="2"/>
      <c r="J553" s="2"/>
      <c r="K553" s="2"/>
      <c r="L553" s="2"/>
    </row>
    <row r="554">
      <c r="G554" s="2"/>
      <c r="H554" s="2"/>
      <c r="I554" s="2"/>
      <c r="J554" s="2"/>
      <c r="K554" s="2"/>
      <c r="L554" s="2"/>
    </row>
    <row r="555">
      <c r="G555" s="2"/>
      <c r="H555" s="2"/>
      <c r="I555" s="2"/>
      <c r="J555" s="2"/>
      <c r="K555" s="2"/>
      <c r="L555" s="2"/>
    </row>
    <row r="556">
      <c r="G556" s="2"/>
      <c r="H556" s="2"/>
      <c r="I556" s="2"/>
      <c r="J556" s="2"/>
      <c r="K556" s="2"/>
      <c r="L556" s="2"/>
    </row>
    <row r="557">
      <c r="G557" s="2"/>
      <c r="H557" s="2"/>
      <c r="I557" s="2"/>
      <c r="J557" s="2"/>
      <c r="K557" s="2"/>
      <c r="L557" s="2"/>
    </row>
    <row r="558">
      <c r="G558" s="2"/>
      <c r="H558" s="2"/>
      <c r="I558" s="2"/>
      <c r="J558" s="2"/>
      <c r="K558" s="2"/>
      <c r="L558" s="2"/>
    </row>
    <row r="559">
      <c r="G559" s="2"/>
      <c r="H559" s="2"/>
      <c r="I559" s="2"/>
      <c r="J559" s="2"/>
      <c r="K559" s="2"/>
      <c r="L559" s="2"/>
    </row>
    <row r="560">
      <c r="G560" s="2"/>
      <c r="H560" s="2"/>
      <c r="I560" s="2"/>
      <c r="J560" s="2"/>
      <c r="K560" s="2"/>
      <c r="L560" s="2"/>
    </row>
    <row r="561">
      <c r="G561" s="2"/>
      <c r="H561" s="2"/>
      <c r="I561" s="2"/>
      <c r="J561" s="2"/>
      <c r="K561" s="2"/>
      <c r="L561" s="2"/>
    </row>
    <row r="562">
      <c r="G562" s="2"/>
      <c r="H562" s="2"/>
      <c r="I562" s="2"/>
      <c r="J562" s="2"/>
      <c r="K562" s="2"/>
      <c r="L562" s="2"/>
    </row>
    <row r="563">
      <c r="G563" s="2"/>
      <c r="H563" s="2"/>
      <c r="I563" s="2"/>
      <c r="J563" s="2"/>
      <c r="K563" s="2"/>
      <c r="L563" s="2"/>
    </row>
    <row r="564">
      <c r="G564" s="2"/>
      <c r="H564" s="2"/>
      <c r="I564" s="2"/>
      <c r="J564" s="2"/>
      <c r="K564" s="2"/>
      <c r="L564" s="2"/>
    </row>
    <row r="565">
      <c r="G565" s="2"/>
      <c r="H565" s="2"/>
      <c r="I565" s="2"/>
      <c r="J565" s="2"/>
      <c r="K565" s="2"/>
      <c r="L565" s="2"/>
    </row>
    <row r="566">
      <c r="G566" s="2"/>
      <c r="H566" s="2"/>
      <c r="I566" s="2"/>
      <c r="J566" s="2"/>
      <c r="K566" s="2"/>
      <c r="L566" s="2"/>
    </row>
    <row r="567">
      <c r="G567" s="2"/>
      <c r="H567" s="2"/>
      <c r="I567" s="2"/>
      <c r="J567" s="2"/>
      <c r="K567" s="2"/>
      <c r="L567" s="2"/>
    </row>
    <row r="568">
      <c r="G568" s="2"/>
      <c r="H568" s="2"/>
      <c r="I568" s="2"/>
      <c r="J568" s="2"/>
      <c r="K568" s="2"/>
      <c r="L568" s="2"/>
    </row>
    <row r="569">
      <c r="G569" s="2"/>
      <c r="H569" s="2"/>
      <c r="I569" s="2"/>
      <c r="J569" s="2"/>
      <c r="K569" s="2"/>
      <c r="L569" s="2"/>
    </row>
    <row r="570">
      <c r="G570" s="2"/>
      <c r="H570" s="2"/>
      <c r="I570" s="2"/>
      <c r="J570" s="2"/>
      <c r="K570" s="2"/>
      <c r="L570" s="2"/>
    </row>
    <row r="571">
      <c r="G571" s="2"/>
      <c r="H571" s="2"/>
      <c r="I571" s="2"/>
      <c r="J571" s="2"/>
      <c r="K571" s="2"/>
      <c r="L571" s="2"/>
    </row>
    <row r="572">
      <c r="G572" s="2"/>
      <c r="H572" s="2"/>
      <c r="I572" s="2"/>
      <c r="J572" s="2"/>
      <c r="K572" s="2"/>
      <c r="L572" s="2"/>
    </row>
    <row r="573">
      <c r="G573" s="2"/>
      <c r="H573" s="2"/>
      <c r="I573" s="2"/>
      <c r="J573" s="2"/>
      <c r="K573" s="2"/>
      <c r="L573" s="2"/>
    </row>
    <row r="574">
      <c r="G574" s="2"/>
      <c r="H574" s="2"/>
      <c r="I574" s="2"/>
      <c r="J574" s="2"/>
      <c r="K574" s="2"/>
      <c r="L574" s="2"/>
    </row>
    <row r="575">
      <c r="G575" s="2"/>
      <c r="H575" s="2"/>
      <c r="I575" s="2"/>
      <c r="J575" s="2"/>
      <c r="K575" s="2"/>
      <c r="L575" s="2"/>
    </row>
    <row r="576">
      <c r="G576" s="2"/>
      <c r="H576" s="2"/>
      <c r="I576" s="2"/>
      <c r="J576" s="2"/>
      <c r="K576" s="2"/>
      <c r="L576" s="2"/>
    </row>
    <row r="577">
      <c r="G577" s="2"/>
      <c r="H577" s="2"/>
      <c r="I577" s="2"/>
      <c r="J577" s="2"/>
      <c r="K577" s="2"/>
      <c r="L577" s="2"/>
    </row>
    <row r="578">
      <c r="G578" s="2"/>
      <c r="H578" s="2"/>
      <c r="I578" s="2"/>
      <c r="J578" s="2"/>
      <c r="K578" s="2"/>
      <c r="L578" s="2"/>
    </row>
    <row r="579">
      <c r="G579" s="2"/>
      <c r="H579" s="2"/>
      <c r="I579" s="2"/>
      <c r="J579" s="2"/>
      <c r="K579" s="2"/>
      <c r="L579" s="2"/>
    </row>
    <row r="580">
      <c r="G580" s="2"/>
      <c r="H580" s="2"/>
      <c r="I580" s="2"/>
      <c r="J580" s="2"/>
      <c r="K580" s="2"/>
      <c r="L580" s="2"/>
    </row>
    <row r="581">
      <c r="G581" s="2"/>
      <c r="H581" s="2"/>
      <c r="I581" s="2"/>
      <c r="J581" s="2"/>
      <c r="K581" s="2"/>
      <c r="L581" s="2"/>
    </row>
    <row r="582">
      <c r="G582" s="2"/>
      <c r="H582" s="2"/>
      <c r="I582" s="2"/>
      <c r="J582" s="2"/>
      <c r="K582" s="2"/>
      <c r="L582" s="2"/>
    </row>
    <row r="583">
      <c r="G583" s="2"/>
      <c r="H583" s="2"/>
      <c r="I583" s="2"/>
      <c r="J583" s="2"/>
      <c r="K583" s="2"/>
      <c r="L583" s="2"/>
    </row>
    <row r="584">
      <c r="G584" s="2"/>
      <c r="H584" s="2"/>
      <c r="I584" s="2"/>
      <c r="J584" s="2"/>
      <c r="K584" s="2"/>
      <c r="L584" s="2"/>
    </row>
    <row r="585">
      <c r="G585" s="2"/>
      <c r="H585" s="2"/>
      <c r="I585" s="2"/>
      <c r="J585" s="2"/>
      <c r="K585" s="2"/>
      <c r="L585" s="2"/>
    </row>
    <row r="586">
      <c r="G586" s="2"/>
      <c r="H586" s="2"/>
      <c r="I586" s="2"/>
      <c r="J586" s="2"/>
      <c r="K586" s="2"/>
      <c r="L586" s="2"/>
    </row>
    <row r="587">
      <c r="G587" s="2"/>
      <c r="H587" s="2"/>
      <c r="I587" s="2"/>
      <c r="J587" s="2"/>
      <c r="K587" s="2"/>
      <c r="L587" s="2"/>
    </row>
    <row r="588">
      <c r="G588" s="2"/>
      <c r="H588" s="2"/>
      <c r="I588" s="2"/>
      <c r="J588" s="2"/>
      <c r="K588" s="2"/>
      <c r="L588" s="2"/>
    </row>
    <row r="589">
      <c r="G589" s="2"/>
      <c r="H589" s="2"/>
      <c r="I589" s="2"/>
      <c r="J589" s="2"/>
      <c r="K589" s="2"/>
      <c r="L589" s="2"/>
    </row>
    <row r="590">
      <c r="G590" s="2"/>
      <c r="H590" s="2"/>
      <c r="I590" s="2"/>
      <c r="J590" s="2"/>
      <c r="K590" s="2"/>
      <c r="L590" s="2"/>
    </row>
    <row r="591">
      <c r="G591" s="2"/>
      <c r="H591" s="2"/>
      <c r="I591" s="2"/>
      <c r="J591" s="2"/>
      <c r="K591" s="2"/>
      <c r="L591" s="2"/>
    </row>
    <row r="592">
      <c r="G592" s="2"/>
      <c r="H592" s="2"/>
      <c r="I592" s="2"/>
      <c r="J592" s="2"/>
      <c r="K592" s="2"/>
      <c r="L592" s="2"/>
    </row>
    <row r="593">
      <c r="G593" s="2"/>
      <c r="H593" s="2"/>
      <c r="I593" s="2"/>
      <c r="J593" s="2"/>
      <c r="K593" s="2"/>
      <c r="L593" s="2"/>
    </row>
    <row r="594">
      <c r="G594" s="2"/>
      <c r="H594" s="2"/>
      <c r="I594" s="2"/>
      <c r="J594" s="2"/>
      <c r="K594" s="2"/>
      <c r="L594" s="2"/>
    </row>
    <row r="595">
      <c r="G595" s="2"/>
      <c r="H595" s="2"/>
      <c r="I595" s="2"/>
      <c r="J595" s="2"/>
      <c r="K595" s="2"/>
      <c r="L595" s="2"/>
    </row>
    <row r="596">
      <c r="G596" s="2"/>
      <c r="H596" s="2"/>
      <c r="I596" s="2"/>
      <c r="J596" s="2"/>
      <c r="K596" s="2"/>
      <c r="L596" s="2"/>
    </row>
    <row r="597">
      <c r="G597" s="2"/>
      <c r="H597" s="2"/>
      <c r="I597" s="2"/>
      <c r="J597" s="2"/>
      <c r="K597" s="2"/>
      <c r="L597" s="2"/>
    </row>
    <row r="598">
      <c r="G598" s="2"/>
      <c r="H598" s="2"/>
      <c r="I598" s="2"/>
      <c r="J598" s="2"/>
      <c r="K598" s="2"/>
      <c r="L598" s="2"/>
    </row>
    <row r="599">
      <c r="G599" s="2"/>
      <c r="H599" s="2"/>
      <c r="I599" s="2"/>
      <c r="J599" s="2"/>
      <c r="K599" s="2"/>
      <c r="L599" s="2"/>
    </row>
    <row r="600">
      <c r="G600" s="2"/>
      <c r="H600" s="2"/>
      <c r="I600" s="2"/>
      <c r="J600" s="2"/>
      <c r="K600" s="2"/>
      <c r="L600" s="2"/>
    </row>
    <row r="601">
      <c r="G601" s="2"/>
      <c r="H601" s="2"/>
      <c r="I601" s="2"/>
      <c r="J601" s="2"/>
      <c r="K601" s="2"/>
      <c r="L601" s="2"/>
    </row>
    <row r="602">
      <c r="G602" s="2"/>
      <c r="H602" s="2"/>
      <c r="I602" s="2"/>
      <c r="J602" s="2"/>
      <c r="K602" s="2"/>
      <c r="L602" s="2"/>
    </row>
    <row r="603">
      <c r="G603" s="2"/>
      <c r="H603" s="2"/>
      <c r="I603" s="2"/>
      <c r="J603" s="2"/>
      <c r="K603" s="2"/>
      <c r="L603" s="2"/>
    </row>
    <row r="604">
      <c r="G604" s="2"/>
      <c r="H604" s="2"/>
      <c r="I604" s="2"/>
      <c r="J604" s="2"/>
      <c r="K604" s="2"/>
      <c r="L604" s="2"/>
    </row>
    <row r="605">
      <c r="G605" s="2"/>
      <c r="H605" s="2"/>
      <c r="I605" s="2"/>
      <c r="J605" s="2"/>
      <c r="K605" s="2"/>
      <c r="L605" s="2"/>
    </row>
    <row r="606">
      <c r="G606" s="2"/>
      <c r="H606" s="2"/>
      <c r="I606" s="2"/>
      <c r="J606" s="2"/>
      <c r="K606" s="2"/>
      <c r="L606" s="2"/>
    </row>
    <row r="607">
      <c r="G607" s="2"/>
      <c r="H607" s="2"/>
      <c r="I607" s="2"/>
      <c r="J607" s="2"/>
      <c r="K607" s="2"/>
      <c r="L607" s="2"/>
    </row>
    <row r="608">
      <c r="G608" s="2"/>
      <c r="H608" s="2"/>
      <c r="I608" s="2"/>
      <c r="J608" s="2"/>
      <c r="K608" s="2"/>
      <c r="L608" s="2"/>
    </row>
    <row r="609">
      <c r="G609" s="2"/>
      <c r="H609" s="2"/>
      <c r="I609" s="2"/>
      <c r="J609" s="2"/>
      <c r="K609" s="2"/>
      <c r="L609" s="2"/>
    </row>
    <row r="610">
      <c r="G610" s="2"/>
      <c r="H610" s="2"/>
      <c r="I610" s="2"/>
      <c r="J610" s="2"/>
      <c r="K610" s="2"/>
      <c r="L610" s="2"/>
    </row>
    <row r="611">
      <c r="G611" s="2"/>
      <c r="H611" s="2"/>
      <c r="I611" s="2"/>
      <c r="J611" s="2"/>
      <c r="K611" s="2"/>
      <c r="L611" s="2"/>
    </row>
    <row r="612">
      <c r="G612" s="2"/>
      <c r="H612" s="2"/>
      <c r="I612" s="2"/>
      <c r="J612" s="2"/>
      <c r="K612" s="2"/>
      <c r="L612" s="2"/>
    </row>
    <row r="613">
      <c r="G613" s="2"/>
      <c r="H613" s="2"/>
      <c r="I613" s="2"/>
      <c r="J613" s="2"/>
      <c r="K613" s="2"/>
      <c r="L613" s="2"/>
    </row>
    <row r="614">
      <c r="G614" s="2"/>
      <c r="H614" s="2"/>
      <c r="I614" s="2"/>
      <c r="J614" s="2"/>
      <c r="K614" s="2"/>
      <c r="L614" s="2"/>
    </row>
    <row r="615">
      <c r="G615" s="2"/>
      <c r="H615" s="2"/>
      <c r="I615" s="2"/>
      <c r="J615" s="2"/>
      <c r="K615" s="2"/>
      <c r="L615" s="2"/>
    </row>
    <row r="616">
      <c r="G616" s="2"/>
      <c r="H616" s="2"/>
      <c r="I616" s="2"/>
      <c r="J616" s="2"/>
      <c r="K616" s="2"/>
      <c r="L616" s="2"/>
    </row>
    <row r="617">
      <c r="G617" s="2"/>
      <c r="H617" s="2"/>
      <c r="I617" s="2"/>
      <c r="J617" s="2"/>
      <c r="K617" s="2"/>
      <c r="L617" s="2"/>
    </row>
    <row r="618">
      <c r="G618" s="2"/>
      <c r="H618" s="2"/>
      <c r="I618" s="2"/>
      <c r="J618" s="2"/>
      <c r="K618" s="2"/>
      <c r="L618" s="2"/>
    </row>
    <row r="619">
      <c r="G619" s="2"/>
      <c r="H619" s="2"/>
      <c r="I619" s="2"/>
      <c r="J619" s="2"/>
      <c r="K619" s="2"/>
      <c r="L619" s="2"/>
    </row>
    <row r="620">
      <c r="G620" s="2"/>
      <c r="H620" s="2"/>
      <c r="I620" s="2"/>
      <c r="J620" s="2"/>
      <c r="K620" s="2"/>
      <c r="L620" s="2"/>
    </row>
    <row r="621">
      <c r="G621" s="2"/>
      <c r="H621" s="2"/>
      <c r="I621" s="2"/>
      <c r="J621" s="2"/>
      <c r="K621" s="2"/>
      <c r="L621" s="2"/>
    </row>
    <row r="622">
      <c r="G622" s="2"/>
      <c r="H622" s="2"/>
      <c r="I622" s="2"/>
      <c r="J622" s="2"/>
      <c r="K622" s="2"/>
      <c r="L622" s="2"/>
    </row>
    <row r="623">
      <c r="G623" s="2"/>
      <c r="H623" s="2"/>
      <c r="I623" s="2"/>
      <c r="J623" s="2"/>
      <c r="K623" s="2"/>
      <c r="L623" s="2"/>
    </row>
    <row r="624">
      <c r="G624" s="2"/>
      <c r="H624" s="2"/>
      <c r="I624" s="2"/>
      <c r="J624" s="2"/>
      <c r="K624" s="2"/>
      <c r="L624" s="2"/>
    </row>
    <row r="625">
      <c r="G625" s="2"/>
      <c r="H625" s="2"/>
      <c r="I625" s="2"/>
      <c r="J625" s="2"/>
      <c r="K625" s="2"/>
      <c r="L625" s="2"/>
    </row>
    <row r="626">
      <c r="G626" s="2"/>
      <c r="H626" s="2"/>
      <c r="I626" s="2"/>
      <c r="J626" s="2"/>
      <c r="K626" s="2"/>
      <c r="L626" s="2"/>
    </row>
    <row r="627">
      <c r="G627" s="2"/>
      <c r="H627" s="2"/>
      <c r="I627" s="2"/>
      <c r="J627" s="2"/>
      <c r="K627" s="2"/>
      <c r="L627" s="2"/>
    </row>
    <row r="628">
      <c r="G628" s="2"/>
      <c r="H628" s="2"/>
      <c r="I628" s="2"/>
      <c r="J628" s="2"/>
      <c r="K628" s="2"/>
      <c r="L628" s="2"/>
    </row>
    <row r="629">
      <c r="G629" s="2"/>
      <c r="H629" s="2"/>
      <c r="I629" s="2"/>
      <c r="J629" s="2"/>
      <c r="K629" s="2"/>
      <c r="L629" s="2"/>
    </row>
    <row r="630">
      <c r="G630" s="2"/>
      <c r="H630" s="2"/>
      <c r="I630" s="2"/>
      <c r="J630" s="2"/>
      <c r="K630" s="2"/>
      <c r="L630" s="2"/>
    </row>
    <row r="631">
      <c r="G631" s="2"/>
      <c r="H631" s="2"/>
      <c r="I631" s="2"/>
      <c r="J631" s="2"/>
      <c r="K631" s="2"/>
      <c r="L631" s="2"/>
    </row>
    <row r="632">
      <c r="G632" s="2"/>
      <c r="H632" s="2"/>
      <c r="I632" s="2"/>
      <c r="J632" s="2"/>
      <c r="K632" s="2"/>
      <c r="L632" s="2"/>
    </row>
    <row r="633">
      <c r="G633" s="2"/>
      <c r="H633" s="2"/>
      <c r="I633" s="2"/>
      <c r="J633" s="2"/>
      <c r="K633" s="2"/>
      <c r="L633" s="2"/>
    </row>
    <row r="634">
      <c r="G634" s="2"/>
      <c r="H634" s="2"/>
      <c r="I634" s="2"/>
      <c r="J634" s="2"/>
      <c r="K634" s="2"/>
      <c r="L634" s="2"/>
    </row>
    <row r="635">
      <c r="G635" s="2"/>
      <c r="H635" s="2"/>
      <c r="I635" s="2"/>
      <c r="J635" s="2"/>
      <c r="K635" s="2"/>
      <c r="L635" s="2"/>
    </row>
    <row r="636">
      <c r="G636" s="2"/>
      <c r="H636" s="2"/>
      <c r="I636" s="2"/>
      <c r="J636" s="2"/>
      <c r="K636" s="2"/>
      <c r="L636" s="2"/>
    </row>
    <row r="637">
      <c r="G637" s="2"/>
      <c r="H637" s="2"/>
      <c r="I637" s="2"/>
      <c r="J637" s="2"/>
      <c r="K637" s="2"/>
      <c r="L637" s="2"/>
    </row>
    <row r="638">
      <c r="G638" s="2"/>
      <c r="H638" s="2"/>
      <c r="I638" s="2"/>
      <c r="J638" s="2"/>
      <c r="K638" s="2"/>
      <c r="L638" s="2"/>
    </row>
    <row r="639">
      <c r="G639" s="2"/>
      <c r="H639" s="2"/>
      <c r="I639" s="2"/>
      <c r="J639" s="2"/>
      <c r="K639" s="2"/>
      <c r="L639" s="2"/>
    </row>
    <row r="640">
      <c r="G640" s="2"/>
      <c r="H640" s="2"/>
      <c r="I640" s="2"/>
      <c r="J640" s="2"/>
      <c r="K640" s="2"/>
      <c r="L640" s="2"/>
    </row>
    <row r="641">
      <c r="G641" s="2"/>
      <c r="H641" s="2"/>
      <c r="I641" s="2"/>
      <c r="J641" s="2"/>
      <c r="K641" s="2"/>
      <c r="L641" s="2"/>
    </row>
    <row r="642">
      <c r="G642" s="2"/>
      <c r="H642" s="2"/>
      <c r="I642" s="2"/>
      <c r="J642" s="2"/>
      <c r="K642" s="2"/>
      <c r="L642" s="2"/>
    </row>
    <row r="643">
      <c r="G643" s="2"/>
      <c r="H643" s="2"/>
      <c r="I643" s="2"/>
      <c r="J643" s="2"/>
      <c r="K643" s="2"/>
      <c r="L643" s="2"/>
    </row>
    <row r="644">
      <c r="G644" s="2"/>
      <c r="H644" s="2"/>
      <c r="I644" s="2"/>
      <c r="J644" s="2"/>
      <c r="K644" s="2"/>
      <c r="L644" s="2"/>
    </row>
    <row r="645">
      <c r="G645" s="2"/>
      <c r="H645" s="2"/>
      <c r="I645" s="2"/>
      <c r="J645" s="2"/>
      <c r="K645" s="2"/>
      <c r="L645" s="2"/>
    </row>
    <row r="646">
      <c r="G646" s="2"/>
      <c r="H646" s="2"/>
      <c r="I646" s="2"/>
      <c r="J646" s="2"/>
      <c r="K646" s="2"/>
      <c r="L646" s="2"/>
    </row>
    <row r="647">
      <c r="G647" s="2"/>
      <c r="H647" s="2"/>
      <c r="I647" s="2"/>
      <c r="J647" s="2"/>
      <c r="K647" s="2"/>
      <c r="L647" s="2"/>
    </row>
    <row r="648">
      <c r="G648" s="2"/>
      <c r="H648" s="2"/>
      <c r="I648" s="2"/>
      <c r="J648" s="2"/>
      <c r="K648" s="2"/>
      <c r="L648" s="2"/>
    </row>
    <row r="649">
      <c r="G649" s="2"/>
      <c r="H649" s="2"/>
      <c r="I649" s="2"/>
      <c r="J649" s="2"/>
      <c r="K649" s="2"/>
      <c r="L649" s="2"/>
    </row>
    <row r="650">
      <c r="G650" s="2"/>
      <c r="H650" s="2"/>
      <c r="I650" s="2"/>
      <c r="J650" s="2"/>
      <c r="K650" s="2"/>
      <c r="L650" s="2"/>
    </row>
    <row r="651">
      <c r="G651" s="2"/>
      <c r="H651" s="2"/>
      <c r="I651" s="2"/>
      <c r="J651" s="2"/>
      <c r="K651" s="2"/>
      <c r="L651" s="2"/>
    </row>
    <row r="652">
      <c r="G652" s="2"/>
      <c r="H652" s="2"/>
      <c r="I652" s="2"/>
      <c r="J652" s="2"/>
      <c r="K652" s="2"/>
      <c r="L652" s="2"/>
    </row>
    <row r="653">
      <c r="G653" s="2"/>
      <c r="H653" s="2"/>
      <c r="I653" s="2"/>
      <c r="J653" s="2"/>
      <c r="K653" s="2"/>
      <c r="L653" s="2"/>
    </row>
    <row r="654">
      <c r="G654" s="2"/>
      <c r="H654" s="2"/>
      <c r="I654" s="2"/>
      <c r="J654" s="2"/>
      <c r="K654" s="2"/>
      <c r="L654" s="2"/>
    </row>
    <row r="655">
      <c r="G655" s="2"/>
      <c r="H655" s="2"/>
      <c r="I655" s="2"/>
      <c r="J655" s="2"/>
      <c r="K655" s="2"/>
      <c r="L655" s="2"/>
    </row>
    <row r="656">
      <c r="G656" s="2"/>
      <c r="H656" s="2"/>
      <c r="I656" s="2"/>
      <c r="J656" s="2"/>
      <c r="K656" s="2"/>
      <c r="L656" s="2"/>
    </row>
    <row r="657">
      <c r="G657" s="2"/>
      <c r="H657" s="2"/>
      <c r="I657" s="2"/>
      <c r="J657" s="2"/>
      <c r="K657" s="2"/>
      <c r="L657" s="2"/>
    </row>
    <row r="658">
      <c r="G658" s="2"/>
      <c r="H658" s="2"/>
      <c r="I658" s="2"/>
      <c r="J658" s="2"/>
      <c r="K658" s="2"/>
      <c r="L658" s="2"/>
    </row>
    <row r="659">
      <c r="G659" s="2"/>
      <c r="H659" s="2"/>
      <c r="I659" s="2"/>
      <c r="J659" s="2"/>
      <c r="K659" s="2"/>
      <c r="L659" s="2"/>
    </row>
    <row r="660">
      <c r="G660" s="2"/>
      <c r="H660" s="2"/>
      <c r="I660" s="2"/>
      <c r="J660" s="2"/>
      <c r="K660" s="2"/>
      <c r="L660" s="2"/>
    </row>
    <row r="661">
      <c r="G661" s="2"/>
      <c r="H661" s="2"/>
      <c r="I661" s="2"/>
      <c r="J661" s="2"/>
      <c r="K661" s="2"/>
      <c r="L661" s="2"/>
    </row>
    <row r="662">
      <c r="G662" s="2"/>
      <c r="H662" s="2"/>
      <c r="I662" s="2"/>
      <c r="J662" s="2"/>
      <c r="K662" s="2"/>
      <c r="L662" s="2"/>
    </row>
    <row r="663">
      <c r="G663" s="2"/>
      <c r="H663" s="2"/>
      <c r="I663" s="2"/>
      <c r="J663" s="2"/>
      <c r="K663" s="2"/>
      <c r="L663" s="2"/>
    </row>
    <row r="664">
      <c r="G664" s="2"/>
      <c r="H664" s="2"/>
      <c r="I664" s="2"/>
      <c r="J664" s="2"/>
      <c r="K664" s="2"/>
      <c r="L664" s="2"/>
    </row>
    <row r="665">
      <c r="G665" s="2"/>
      <c r="H665" s="2"/>
      <c r="I665" s="2"/>
      <c r="J665" s="2"/>
      <c r="K665" s="2"/>
      <c r="L665" s="2"/>
    </row>
    <row r="666">
      <c r="G666" s="2"/>
      <c r="H666" s="2"/>
      <c r="I666" s="2"/>
      <c r="J666" s="2"/>
      <c r="K666" s="2"/>
      <c r="L666" s="2"/>
    </row>
    <row r="667">
      <c r="G667" s="2"/>
      <c r="H667" s="2"/>
      <c r="I667" s="2"/>
      <c r="J667" s="2"/>
      <c r="K667" s="2"/>
      <c r="L667" s="2"/>
    </row>
    <row r="668">
      <c r="G668" s="2"/>
      <c r="H668" s="2"/>
      <c r="I668" s="2"/>
      <c r="J668" s="2"/>
      <c r="K668" s="2"/>
      <c r="L668" s="2"/>
    </row>
    <row r="669">
      <c r="G669" s="2"/>
      <c r="H669" s="2"/>
      <c r="I669" s="2"/>
      <c r="J669" s="2"/>
      <c r="K669" s="2"/>
      <c r="L669" s="2"/>
    </row>
    <row r="670">
      <c r="G670" s="2"/>
      <c r="H670" s="2"/>
      <c r="I670" s="2"/>
      <c r="J670" s="2"/>
      <c r="K670" s="2"/>
      <c r="L670" s="2"/>
    </row>
    <row r="671">
      <c r="G671" s="2"/>
      <c r="H671" s="2"/>
      <c r="I671" s="2"/>
      <c r="J671" s="2"/>
      <c r="K671" s="2"/>
      <c r="L671" s="2"/>
    </row>
    <row r="672">
      <c r="G672" s="2"/>
      <c r="H672" s="2"/>
      <c r="I672" s="2"/>
      <c r="J672" s="2"/>
      <c r="K672" s="2"/>
      <c r="L672" s="2"/>
    </row>
    <row r="673">
      <c r="G673" s="2"/>
      <c r="H673" s="2"/>
      <c r="I673" s="2"/>
      <c r="J673" s="2"/>
      <c r="K673" s="2"/>
      <c r="L673" s="2"/>
    </row>
    <row r="674">
      <c r="G674" s="2"/>
      <c r="H674" s="2"/>
      <c r="I674" s="2"/>
      <c r="J674" s="2"/>
      <c r="K674" s="2"/>
      <c r="L674" s="2"/>
    </row>
    <row r="675">
      <c r="G675" s="2"/>
      <c r="H675" s="2"/>
      <c r="I675" s="2"/>
      <c r="J675" s="2"/>
      <c r="K675" s="2"/>
      <c r="L675" s="2"/>
    </row>
    <row r="676">
      <c r="G676" s="2"/>
      <c r="H676" s="2"/>
      <c r="I676" s="2"/>
      <c r="J676" s="2"/>
      <c r="K676" s="2"/>
      <c r="L676" s="2"/>
    </row>
    <row r="677">
      <c r="G677" s="2"/>
      <c r="H677" s="2"/>
      <c r="I677" s="2"/>
      <c r="J677" s="2"/>
      <c r="K677" s="2"/>
      <c r="L677" s="2"/>
    </row>
    <row r="678">
      <c r="G678" s="2"/>
      <c r="H678" s="2"/>
      <c r="I678" s="2"/>
      <c r="J678" s="2"/>
      <c r="K678" s="2"/>
      <c r="L678" s="2"/>
    </row>
    <row r="679">
      <c r="G679" s="2"/>
      <c r="H679" s="2"/>
      <c r="I679" s="2"/>
      <c r="J679" s="2"/>
      <c r="K679" s="2"/>
      <c r="L679" s="2"/>
    </row>
    <row r="680">
      <c r="G680" s="2"/>
      <c r="H680" s="2"/>
      <c r="I680" s="2"/>
      <c r="J680" s="2"/>
      <c r="K680" s="2"/>
      <c r="L680" s="2"/>
    </row>
    <row r="681">
      <c r="G681" s="2"/>
      <c r="H681" s="2"/>
      <c r="I681" s="2"/>
      <c r="J681" s="2"/>
      <c r="K681" s="2"/>
      <c r="L681" s="2"/>
    </row>
    <row r="682">
      <c r="G682" s="2"/>
      <c r="H682" s="2"/>
      <c r="I682" s="2"/>
      <c r="J682" s="2"/>
      <c r="K682" s="2"/>
      <c r="L682" s="2"/>
    </row>
    <row r="683">
      <c r="G683" s="2"/>
      <c r="H683" s="2"/>
      <c r="I683" s="2"/>
      <c r="J683" s="2"/>
      <c r="K683" s="2"/>
      <c r="L683" s="2"/>
    </row>
    <row r="684">
      <c r="G684" s="2"/>
      <c r="H684" s="2"/>
      <c r="I684" s="2"/>
      <c r="J684" s="2"/>
      <c r="K684" s="2"/>
      <c r="L684" s="2"/>
    </row>
    <row r="685">
      <c r="G685" s="2"/>
      <c r="H685" s="2"/>
      <c r="I685" s="2"/>
      <c r="J685" s="2"/>
      <c r="K685" s="2"/>
      <c r="L685" s="2"/>
    </row>
    <row r="686">
      <c r="G686" s="2"/>
      <c r="H686" s="2"/>
      <c r="I686" s="2"/>
      <c r="J686" s="2"/>
      <c r="K686" s="2"/>
      <c r="L686" s="2"/>
    </row>
    <row r="687">
      <c r="G687" s="2"/>
      <c r="H687" s="2"/>
      <c r="I687" s="2"/>
      <c r="J687" s="2"/>
      <c r="K687" s="2"/>
      <c r="L687" s="2"/>
    </row>
    <row r="688">
      <c r="G688" s="2"/>
      <c r="H688" s="2"/>
      <c r="I688" s="2"/>
      <c r="J688" s="2"/>
      <c r="K688" s="2"/>
      <c r="L688" s="2"/>
    </row>
    <row r="689">
      <c r="G689" s="2"/>
      <c r="H689" s="2"/>
      <c r="I689" s="2"/>
      <c r="J689" s="2"/>
      <c r="K689" s="2"/>
      <c r="L689" s="2"/>
    </row>
    <row r="690">
      <c r="G690" s="2"/>
      <c r="H690" s="2"/>
      <c r="I690" s="2"/>
      <c r="J690" s="2"/>
      <c r="K690" s="2"/>
      <c r="L690" s="2"/>
    </row>
    <row r="691">
      <c r="G691" s="2"/>
      <c r="H691" s="2"/>
      <c r="I691" s="2"/>
      <c r="J691" s="2"/>
      <c r="K691" s="2"/>
      <c r="L691" s="2"/>
    </row>
    <row r="692">
      <c r="G692" s="2"/>
      <c r="H692" s="2"/>
      <c r="I692" s="2"/>
      <c r="J692" s="2"/>
      <c r="K692" s="2"/>
      <c r="L692" s="2"/>
    </row>
    <row r="693">
      <c r="G693" s="2"/>
      <c r="H693" s="2"/>
      <c r="I693" s="2"/>
      <c r="J693" s="2"/>
      <c r="K693" s="2"/>
      <c r="L693" s="2"/>
    </row>
    <row r="694">
      <c r="G694" s="2"/>
      <c r="H694" s="2"/>
      <c r="I694" s="2"/>
      <c r="J694" s="2"/>
      <c r="K694" s="2"/>
      <c r="L694" s="2"/>
    </row>
    <row r="695">
      <c r="G695" s="2"/>
      <c r="H695" s="2"/>
      <c r="I695" s="2"/>
      <c r="J695" s="2"/>
      <c r="K695" s="2"/>
      <c r="L695" s="2"/>
    </row>
    <row r="696">
      <c r="G696" s="2"/>
      <c r="H696" s="2"/>
      <c r="I696" s="2"/>
      <c r="J696" s="2"/>
      <c r="K696" s="2"/>
      <c r="L696" s="2"/>
    </row>
    <row r="697">
      <c r="G697" s="2"/>
      <c r="H697" s="2"/>
      <c r="I697" s="2"/>
      <c r="J697" s="2"/>
      <c r="K697" s="2"/>
      <c r="L697" s="2"/>
    </row>
    <row r="698">
      <c r="G698" s="2"/>
      <c r="H698" s="2"/>
      <c r="I698" s="2"/>
      <c r="J698" s="2"/>
      <c r="K698" s="2"/>
      <c r="L698" s="2"/>
    </row>
    <row r="699">
      <c r="G699" s="2"/>
      <c r="H699" s="2"/>
      <c r="I699" s="2"/>
      <c r="J699" s="2"/>
      <c r="K699" s="2"/>
      <c r="L699" s="2"/>
    </row>
    <row r="700">
      <c r="G700" s="2"/>
      <c r="H700" s="2"/>
      <c r="I700" s="2"/>
      <c r="J700" s="2"/>
      <c r="K700" s="2"/>
      <c r="L700" s="2"/>
    </row>
    <row r="701">
      <c r="G701" s="2"/>
      <c r="H701" s="2"/>
      <c r="I701" s="2"/>
      <c r="J701" s="2"/>
      <c r="K701" s="2"/>
      <c r="L701" s="2"/>
    </row>
    <row r="702">
      <c r="G702" s="2"/>
      <c r="H702" s="2"/>
      <c r="I702" s="2"/>
      <c r="J702" s="2"/>
      <c r="K702" s="2"/>
      <c r="L702" s="2"/>
    </row>
    <row r="703">
      <c r="G703" s="2"/>
      <c r="H703" s="2"/>
      <c r="I703" s="2"/>
      <c r="J703" s="2"/>
      <c r="K703" s="2"/>
      <c r="L703" s="2"/>
    </row>
    <row r="704">
      <c r="G704" s="2"/>
      <c r="H704" s="2"/>
      <c r="I704" s="2"/>
      <c r="J704" s="2"/>
      <c r="K704" s="2"/>
      <c r="L704" s="2"/>
    </row>
    <row r="705">
      <c r="G705" s="2"/>
      <c r="H705" s="2"/>
      <c r="I705" s="2"/>
      <c r="J705" s="2"/>
      <c r="K705" s="2"/>
      <c r="L705" s="2"/>
    </row>
    <row r="706">
      <c r="G706" s="2"/>
      <c r="H706" s="2"/>
      <c r="I706" s="2"/>
      <c r="J706" s="2"/>
      <c r="K706" s="2"/>
      <c r="L706" s="2"/>
    </row>
    <row r="707">
      <c r="G707" s="2"/>
      <c r="H707" s="2"/>
      <c r="I707" s="2"/>
      <c r="J707" s="2"/>
      <c r="K707" s="2"/>
      <c r="L707" s="2"/>
    </row>
    <row r="708">
      <c r="G708" s="2"/>
      <c r="H708" s="2"/>
      <c r="I708" s="2"/>
      <c r="J708" s="2"/>
      <c r="K708" s="2"/>
      <c r="L708" s="2"/>
    </row>
    <row r="709">
      <c r="G709" s="2"/>
      <c r="H709" s="2"/>
      <c r="I709" s="2"/>
      <c r="J709" s="2"/>
      <c r="K709" s="2"/>
      <c r="L709" s="2"/>
    </row>
    <row r="710">
      <c r="G710" s="2"/>
      <c r="H710" s="2"/>
      <c r="I710" s="2"/>
      <c r="J710" s="2"/>
      <c r="K710" s="2"/>
      <c r="L710" s="2"/>
    </row>
    <row r="711">
      <c r="G711" s="2"/>
      <c r="H711" s="2"/>
      <c r="I711" s="2"/>
      <c r="J711" s="2"/>
      <c r="K711" s="2"/>
      <c r="L711" s="2"/>
    </row>
    <row r="712">
      <c r="G712" s="2"/>
      <c r="H712" s="2"/>
      <c r="I712" s="2"/>
      <c r="J712" s="2"/>
      <c r="K712" s="2"/>
      <c r="L712" s="2"/>
    </row>
    <row r="713">
      <c r="G713" s="2"/>
      <c r="H713" s="2"/>
      <c r="I713" s="2"/>
      <c r="J713" s="2"/>
      <c r="K713" s="2"/>
      <c r="L713" s="2"/>
    </row>
    <row r="714">
      <c r="G714" s="2"/>
      <c r="H714" s="2"/>
      <c r="I714" s="2"/>
      <c r="J714" s="2"/>
      <c r="K714" s="2"/>
      <c r="L714" s="2"/>
    </row>
    <row r="715">
      <c r="G715" s="2"/>
      <c r="H715" s="2"/>
      <c r="I715" s="2"/>
      <c r="J715" s="2"/>
      <c r="K715" s="2"/>
      <c r="L715" s="2"/>
    </row>
    <row r="716">
      <c r="G716" s="2"/>
      <c r="H716" s="2"/>
      <c r="I716" s="2"/>
      <c r="J716" s="2"/>
      <c r="K716" s="2"/>
      <c r="L716" s="2"/>
    </row>
    <row r="717">
      <c r="G717" s="2"/>
      <c r="H717" s="2"/>
      <c r="I717" s="2"/>
      <c r="J717" s="2"/>
      <c r="K717" s="2"/>
      <c r="L717" s="2"/>
    </row>
    <row r="718">
      <c r="G718" s="2"/>
      <c r="H718" s="2"/>
      <c r="I718" s="2"/>
      <c r="J718" s="2"/>
      <c r="K718" s="2"/>
      <c r="L718" s="2"/>
    </row>
    <row r="719">
      <c r="G719" s="2"/>
      <c r="H719" s="2"/>
      <c r="I719" s="2"/>
      <c r="J719" s="2"/>
      <c r="K719" s="2"/>
      <c r="L719" s="2"/>
    </row>
    <row r="720">
      <c r="G720" s="2"/>
      <c r="H720" s="2"/>
      <c r="I720" s="2"/>
      <c r="J720" s="2"/>
      <c r="K720" s="2"/>
      <c r="L720" s="2"/>
    </row>
    <row r="721">
      <c r="G721" s="2"/>
      <c r="H721" s="2"/>
      <c r="I721" s="2"/>
      <c r="J721" s="2"/>
      <c r="K721" s="2"/>
      <c r="L721" s="2"/>
    </row>
    <row r="722">
      <c r="G722" s="2"/>
      <c r="H722" s="2"/>
      <c r="I722" s="2"/>
      <c r="J722" s="2"/>
      <c r="K722" s="2"/>
      <c r="L722" s="2"/>
    </row>
    <row r="723">
      <c r="G723" s="2"/>
      <c r="H723" s="2"/>
      <c r="I723" s="2"/>
      <c r="J723" s="2"/>
      <c r="K723" s="2"/>
      <c r="L723" s="2"/>
    </row>
    <row r="724">
      <c r="G724" s="2"/>
      <c r="H724" s="2"/>
      <c r="I724" s="2"/>
      <c r="J724" s="2"/>
      <c r="K724" s="2"/>
      <c r="L724" s="2"/>
    </row>
    <row r="725">
      <c r="G725" s="2"/>
      <c r="H725" s="2"/>
      <c r="I725" s="2"/>
      <c r="J725" s="2"/>
      <c r="K725" s="2"/>
      <c r="L725" s="2"/>
    </row>
    <row r="726">
      <c r="G726" s="2"/>
      <c r="H726" s="2"/>
      <c r="I726" s="2"/>
      <c r="J726" s="2"/>
      <c r="K726" s="2"/>
      <c r="L726" s="2"/>
    </row>
    <row r="727">
      <c r="G727" s="2"/>
      <c r="H727" s="2"/>
      <c r="I727" s="2"/>
      <c r="J727" s="2"/>
      <c r="K727" s="2"/>
      <c r="L727" s="2"/>
    </row>
    <row r="728">
      <c r="G728" s="2"/>
      <c r="H728" s="2"/>
      <c r="I728" s="2"/>
      <c r="J728" s="2"/>
      <c r="K728" s="2"/>
      <c r="L728" s="2"/>
    </row>
    <row r="729">
      <c r="G729" s="2"/>
      <c r="H729" s="2"/>
      <c r="I729" s="2"/>
      <c r="J729" s="2"/>
      <c r="K729" s="2"/>
      <c r="L729" s="2"/>
    </row>
    <row r="730">
      <c r="G730" s="2"/>
      <c r="H730" s="2"/>
      <c r="I730" s="2"/>
      <c r="J730" s="2"/>
      <c r="K730" s="2"/>
      <c r="L730" s="2"/>
    </row>
    <row r="731">
      <c r="G731" s="2"/>
      <c r="H731" s="2"/>
      <c r="I731" s="2"/>
      <c r="J731" s="2"/>
      <c r="K731" s="2"/>
      <c r="L731" s="2"/>
    </row>
    <row r="732">
      <c r="G732" s="2"/>
      <c r="H732" s="2"/>
      <c r="I732" s="2"/>
      <c r="J732" s="2"/>
      <c r="K732" s="2"/>
      <c r="L732" s="2"/>
    </row>
    <row r="733">
      <c r="G733" s="2"/>
      <c r="H733" s="2"/>
      <c r="I733" s="2"/>
      <c r="J733" s="2"/>
      <c r="K733" s="2"/>
      <c r="L733" s="2"/>
    </row>
    <row r="734">
      <c r="G734" s="2"/>
      <c r="H734" s="2"/>
      <c r="I734" s="2"/>
      <c r="J734" s="2"/>
      <c r="K734" s="2"/>
      <c r="L734" s="2"/>
    </row>
    <row r="735">
      <c r="G735" s="2"/>
      <c r="H735" s="2"/>
      <c r="I735" s="2"/>
      <c r="J735" s="2"/>
      <c r="K735" s="2"/>
      <c r="L735" s="2"/>
    </row>
    <row r="736">
      <c r="G736" s="2"/>
      <c r="H736" s="2"/>
      <c r="I736" s="2"/>
      <c r="J736" s="2"/>
      <c r="K736" s="2"/>
      <c r="L736" s="2"/>
    </row>
    <row r="737">
      <c r="G737" s="2"/>
      <c r="H737" s="2"/>
      <c r="I737" s="2"/>
      <c r="J737" s="2"/>
      <c r="K737" s="2"/>
      <c r="L737" s="2"/>
    </row>
    <row r="738">
      <c r="G738" s="2"/>
      <c r="H738" s="2"/>
      <c r="I738" s="2"/>
      <c r="J738" s="2"/>
      <c r="K738" s="2"/>
      <c r="L738" s="2"/>
    </row>
    <row r="739">
      <c r="G739" s="2"/>
      <c r="H739" s="2"/>
      <c r="I739" s="2"/>
      <c r="J739" s="2"/>
      <c r="K739" s="2"/>
      <c r="L739" s="2"/>
    </row>
    <row r="740">
      <c r="G740" s="2"/>
      <c r="H740" s="2"/>
      <c r="I740" s="2"/>
      <c r="J740" s="2"/>
      <c r="K740" s="2"/>
      <c r="L740" s="2"/>
    </row>
    <row r="741">
      <c r="G741" s="2"/>
      <c r="H741" s="2"/>
      <c r="I741" s="2"/>
      <c r="J741" s="2"/>
      <c r="K741" s="2"/>
      <c r="L741" s="2"/>
    </row>
    <row r="742">
      <c r="G742" s="2"/>
      <c r="H742" s="2"/>
      <c r="I742" s="2"/>
      <c r="J742" s="2"/>
      <c r="K742" s="2"/>
      <c r="L742" s="2"/>
    </row>
    <row r="743">
      <c r="G743" s="2"/>
      <c r="H743" s="2"/>
      <c r="I743" s="2"/>
      <c r="J743" s="2"/>
      <c r="K743" s="2"/>
      <c r="L743" s="2"/>
    </row>
    <row r="744">
      <c r="G744" s="2"/>
      <c r="H744" s="2"/>
      <c r="I744" s="2"/>
      <c r="J744" s="2"/>
      <c r="K744" s="2"/>
      <c r="L744" s="2"/>
    </row>
    <row r="745">
      <c r="G745" s="2"/>
      <c r="H745" s="2"/>
      <c r="I745" s="2"/>
      <c r="J745" s="2"/>
      <c r="K745" s="2"/>
      <c r="L745" s="2"/>
    </row>
    <row r="746">
      <c r="G746" s="2"/>
      <c r="H746" s="2"/>
      <c r="I746" s="2"/>
      <c r="J746" s="2"/>
      <c r="K746" s="2"/>
      <c r="L746" s="2"/>
    </row>
    <row r="747">
      <c r="G747" s="2"/>
      <c r="H747" s="2"/>
      <c r="I747" s="2"/>
      <c r="J747" s="2"/>
      <c r="K747" s="2"/>
      <c r="L747" s="2"/>
    </row>
    <row r="748">
      <c r="G748" s="2"/>
      <c r="H748" s="2"/>
      <c r="I748" s="2"/>
      <c r="J748" s="2"/>
      <c r="K748" s="2"/>
      <c r="L748" s="2"/>
    </row>
    <row r="749">
      <c r="G749" s="2"/>
      <c r="H749" s="2"/>
      <c r="I749" s="2"/>
      <c r="J749" s="2"/>
      <c r="K749" s="2"/>
      <c r="L749" s="2"/>
    </row>
    <row r="750">
      <c r="G750" s="2"/>
      <c r="H750" s="2"/>
      <c r="I750" s="2"/>
      <c r="J750" s="2"/>
      <c r="K750" s="2"/>
      <c r="L750" s="2"/>
    </row>
    <row r="751">
      <c r="G751" s="2"/>
      <c r="H751" s="2"/>
      <c r="I751" s="2"/>
      <c r="J751" s="2"/>
      <c r="K751" s="2"/>
      <c r="L751" s="2"/>
    </row>
    <row r="752">
      <c r="G752" s="2"/>
      <c r="H752" s="2"/>
      <c r="I752" s="2"/>
      <c r="J752" s="2"/>
      <c r="K752" s="2"/>
      <c r="L752" s="2"/>
    </row>
    <row r="753">
      <c r="G753" s="2"/>
      <c r="H753" s="2"/>
      <c r="I753" s="2"/>
      <c r="J753" s="2"/>
      <c r="K753" s="2"/>
      <c r="L753" s="2"/>
    </row>
    <row r="754">
      <c r="G754" s="2"/>
      <c r="H754" s="2"/>
      <c r="I754" s="2"/>
      <c r="J754" s="2"/>
      <c r="K754" s="2"/>
      <c r="L754" s="2"/>
    </row>
    <row r="755">
      <c r="G755" s="2"/>
      <c r="H755" s="2"/>
      <c r="I755" s="2"/>
      <c r="J755" s="2"/>
      <c r="K755" s="2"/>
      <c r="L755" s="2"/>
    </row>
    <row r="756">
      <c r="G756" s="2"/>
      <c r="H756" s="2"/>
      <c r="I756" s="2"/>
      <c r="J756" s="2"/>
      <c r="K756" s="2"/>
      <c r="L756" s="2"/>
    </row>
    <row r="757">
      <c r="G757" s="2"/>
      <c r="H757" s="2"/>
      <c r="I757" s="2"/>
      <c r="J757" s="2"/>
      <c r="K757" s="2"/>
      <c r="L757" s="2"/>
    </row>
    <row r="758">
      <c r="G758" s="2"/>
      <c r="H758" s="2"/>
      <c r="I758" s="2"/>
      <c r="J758" s="2"/>
      <c r="K758" s="2"/>
      <c r="L758" s="2"/>
    </row>
    <row r="759">
      <c r="G759" s="2"/>
      <c r="H759" s="2"/>
      <c r="I759" s="2"/>
      <c r="J759" s="2"/>
      <c r="K759" s="2"/>
      <c r="L759" s="2"/>
    </row>
    <row r="760">
      <c r="G760" s="2"/>
      <c r="H760" s="2"/>
      <c r="I760" s="2"/>
      <c r="J760" s="2"/>
      <c r="K760" s="2"/>
      <c r="L760" s="2"/>
    </row>
    <row r="761">
      <c r="G761" s="2"/>
      <c r="H761" s="2"/>
      <c r="I761" s="2"/>
      <c r="J761" s="2"/>
      <c r="K761" s="2"/>
      <c r="L761" s="2"/>
    </row>
    <row r="762">
      <c r="G762" s="2"/>
      <c r="H762" s="2"/>
      <c r="I762" s="2"/>
      <c r="J762" s="2"/>
      <c r="K762" s="2"/>
      <c r="L762" s="2"/>
    </row>
    <row r="763">
      <c r="G763" s="2"/>
      <c r="H763" s="2"/>
      <c r="I763" s="2"/>
      <c r="J763" s="2"/>
      <c r="K763" s="2"/>
      <c r="L763" s="2"/>
    </row>
    <row r="764">
      <c r="G764" s="2"/>
      <c r="H764" s="2"/>
      <c r="I764" s="2"/>
      <c r="J764" s="2"/>
      <c r="K764" s="2"/>
      <c r="L764" s="2"/>
    </row>
    <row r="765">
      <c r="G765" s="2"/>
      <c r="H765" s="2"/>
      <c r="I765" s="2"/>
      <c r="J765" s="2"/>
      <c r="K765" s="2"/>
      <c r="L765" s="2"/>
    </row>
    <row r="766">
      <c r="G766" s="2"/>
      <c r="H766" s="2"/>
      <c r="I766" s="2"/>
      <c r="J766" s="2"/>
      <c r="K766" s="2"/>
      <c r="L766" s="2"/>
    </row>
    <row r="767">
      <c r="G767" s="2"/>
      <c r="H767" s="2"/>
      <c r="I767" s="2"/>
      <c r="J767" s="2"/>
      <c r="K767" s="2"/>
      <c r="L767" s="2"/>
    </row>
    <row r="768">
      <c r="G768" s="2"/>
      <c r="H768" s="2"/>
      <c r="I768" s="2"/>
      <c r="J768" s="2"/>
      <c r="K768" s="2"/>
      <c r="L768" s="2"/>
    </row>
    <row r="769">
      <c r="G769" s="2"/>
      <c r="H769" s="2"/>
      <c r="I769" s="2"/>
      <c r="J769" s="2"/>
      <c r="K769" s="2"/>
      <c r="L769" s="2"/>
    </row>
    <row r="770">
      <c r="G770" s="2"/>
      <c r="H770" s="2"/>
      <c r="I770" s="2"/>
      <c r="J770" s="2"/>
      <c r="K770" s="2"/>
      <c r="L770" s="2"/>
    </row>
    <row r="771">
      <c r="G771" s="2"/>
      <c r="H771" s="2"/>
      <c r="I771" s="2"/>
      <c r="J771" s="2"/>
      <c r="K771" s="2"/>
      <c r="L771" s="2"/>
    </row>
    <row r="772">
      <c r="G772" s="2"/>
      <c r="H772" s="2"/>
      <c r="I772" s="2"/>
      <c r="J772" s="2"/>
      <c r="K772" s="2"/>
      <c r="L772" s="2"/>
    </row>
    <row r="773">
      <c r="G773" s="2"/>
      <c r="H773" s="2"/>
      <c r="I773" s="2"/>
      <c r="J773" s="2"/>
      <c r="K773" s="2"/>
      <c r="L773" s="2"/>
    </row>
    <row r="774">
      <c r="G774" s="2"/>
      <c r="H774" s="2"/>
      <c r="I774" s="2"/>
      <c r="J774" s="2"/>
      <c r="K774" s="2"/>
      <c r="L774" s="2"/>
    </row>
    <row r="775">
      <c r="G775" s="2"/>
      <c r="H775" s="2"/>
      <c r="I775" s="2"/>
      <c r="J775" s="2"/>
      <c r="K775" s="2"/>
      <c r="L775" s="2"/>
    </row>
    <row r="776">
      <c r="G776" s="2"/>
      <c r="H776" s="2"/>
      <c r="I776" s="2"/>
      <c r="J776" s="2"/>
      <c r="K776" s="2"/>
      <c r="L776" s="2"/>
    </row>
    <row r="777">
      <c r="G777" s="2"/>
      <c r="H777" s="2"/>
      <c r="I777" s="2"/>
      <c r="J777" s="2"/>
      <c r="K777" s="2"/>
      <c r="L777" s="2"/>
    </row>
    <row r="778">
      <c r="G778" s="2"/>
      <c r="H778" s="2"/>
      <c r="I778" s="2"/>
      <c r="J778" s="2"/>
      <c r="K778" s="2"/>
      <c r="L778" s="2"/>
    </row>
    <row r="779">
      <c r="G779" s="2"/>
      <c r="H779" s="2"/>
      <c r="I779" s="2"/>
      <c r="J779" s="2"/>
      <c r="K779" s="2"/>
      <c r="L779" s="2"/>
    </row>
    <row r="780">
      <c r="G780" s="2"/>
      <c r="H780" s="2"/>
      <c r="I780" s="2"/>
      <c r="J780" s="2"/>
      <c r="K780" s="2"/>
      <c r="L780" s="2"/>
    </row>
    <row r="781">
      <c r="G781" s="2"/>
      <c r="H781" s="2"/>
      <c r="I781" s="2"/>
      <c r="J781" s="2"/>
      <c r="K781" s="2"/>
      <c r="L781" s="2"/>
    </row>
    <row r="782">
      <c r="G782" s="2"/>
      <c r="H782" s="2"/>
      <c r="I782" s="2"/>
      <c r="J782" s="2"/>
      <c r="K782" s="2"/>
      <c r="L782" s="2"/>
    </row>
    <row r="783">
      <c r="G783" s="2"/>
      <c r="H783" s="2"/>
      <c r="I783" s="2"/>
      <c r="J783" s="2"/>
      <c r="K783" s="2"/>
      <c r="L783" s="2"/>
    </row>
    <row r="784">
      <c r="G784" s="2"/>
      <c r="H784" s="2"/>
      <c r="I784" s="2"/>
      <c r="J784" s="2"/>
      <c r="K784" s="2"/>
      <c r="L784" s="2"/>
    </row>
    <row r="785">
      <c r="G785" s="2"/>
      <c r="H785" s="2"/>
      <c r="I785" s="2"/>
      <c r="J785" s="2"/>
      <c r="K785" s="2"/>
      <c r="L785" s="2"/>
    </row>
    <row r="786">
      <c r="G786" s="2"/>
      <c r="H786" s="2"/>
      <c r="I786" s="2"/>
      <c r="J786" s="2"/>
      <c r="K786" s="2"/>
      <c r="L786" s="2"/>
    </row>
    <row r="787">
      <c r="G787" s="2"/>
      <c r="H787" s="2"/>
      <c r="I787" s="2"/>
      <c r="J787" s="2"/>
      <c r="K787" s="2"/>
      <c r="L787" s="2"/>
    </row>
    <row r="788">
      <c r="G788" s="2"/>
      <c r="H788" s="2"/>
      <c r="I788" s="2"/>
      <c r="J788" s="2"/>
      <c r="K788" s="2"/>
      <c r="L788" s="2"/>
    </row>
    <row r="789">
      <c r="G789" s="2"/>
      <c r="H789" s="2"/>
      <c r="I789" s="2"/>
      <c r="J789" s="2"/>
      <c r="K789" s="2"/>
      <c r="L789" s="2"/>
    </row>
    <row r="790">
      <c r="G790" s="2"/>
      <c r="H790" s="2"/>
      <c r="I790" s="2"/>
      <c r="J790" s="2"/>
      <c r="K790" s="2"/>
      <c r="L790" s="2"/>
    </row>
    <row r="791">
      <c r="G791" s="2"/>
      <c r="H791" s="2"/>
      <c r="I791" s="2"/>
      <c r="J791" s="2"/>
      <c r="K791" s="2"/>
      <c r="L791" s="2"/>
    </row>
    <row r="792">
      <c r="G792" s="2"/>
      <c r="H792" s="2"/>
      <c r="I792" s="2"/>
      <c r="J792" s="2"/>
      <c r="K792" s="2"/>
      <c r="L792" s="2"/>
    </row>
    <row r="793">
      <c r="G793" s="2"/>
      <c r="H793" s="2"/>
      <c r="I793" s="2"/>
      <c r="J793" s="2"/>
      <c r="K793" s="2"/>
      <c r="L793" s="2"/>
    </row>
    <row r="794">
      <c r="G794" s="2"/>
      <c r="H794" s="2"/>
      <c r="I794" s="2"/>
      <c r="J794" s="2"/>
      <c r="K794" s="2"/>
      <c r="L794" s="2"/>
    </row>
    <row r="795">
      <c r="G795" s="2"/>
      <c r="H795" s="2"/>
      <c r="I795" s="2"/>
      <c r="J795" s="2"/>
      <c r="K795" s="2"/>
      <c r="L795" s="2"/>
    </row>
    <row r="796">
      <c r="G796" s="2"/>
      <c r="H796" s="2"/>
      <c r="I796" s="2"/>
      <c r="J796" s="2"/>
      <c r="K796" s="2"/>
      <c r="L796" s="2"/>
    </row>
    <row r="797">
      <c r="G797" s="2"/>
      <c r="H797" s="2"/>
      <c r="I797" s="2"/>
      <c r="J797" s="2"/>
      <c r="K797" s="2"/>
      <c r="L797" s="2"/>
    </row>
    <row r="798">
      <c r="G798" s="2"/>
      <c r="H798" s="2"/>
      <c r="I798" s="2"/>
      <c r="J798" s="2"/>
      <c r="K798" s="2"/>
      <c r="L798" s="2"/>
    </row>
    <row r="799">
      <c r="G799" s="2"/>
      <c r="H799" s="2"/>
      <c r="I799" s="2"/>
      <c r="J799" s="2"/>
      <c r="K799" s="2"/>
      <c r="L799" s="2"/>
    </row>
    <row r="800">
      <c r="G800" s="2"/>
      <c r="H800" s="2"/>
      <c r="I800" s="2"/>
      <c r="J800" s="2"/>
      <c r="K800" s="2"/>
      <c r="L800" s="2"/>
    </row>
    <row r="801">
      <c r="G801" s="2"/>
      <c r="H801" s="2"/>
      <c r="I801" s="2"/>
      <c r="J801" s="2"/>
      <c r="K801" s="2"/>
      <c r="L801" s="2"/>
    </row>
    <row r="802">
      <c r="G802" s="2"/>
      <c r="H802" s="2"/>
      <c r="I802" s="2"/>
      <c r="J802" s="2"/>
      <c r="K802" s="2"/>
      <c r="L802" s="2"/>
    </row>
    <row r="803">
      <c r="G803" s="2"/>
      <c r="H803" s="2"/>
      <c r="I803" s="2"/>
      <c r="J803" s="2"/>
      <c r="K803" s="2"/>
      <c r="L803" s="2"/>
    </row>
    <row r="804">
      <c r="G804" s="2"/>
      <c r="H804" s="2"/>
      <c r="I804" s="2"/>
      <c r="J804" s="2"/>
      <c r="K804" s="2"/>
      <c r="L804" s="2"/>
    </row>
    <row r="805">
      <c r="G805" s="2"/>
      <c r="H805" s="2"/>
      <c r="I805" s="2"/>
      <c r="J805" s="2"/>
      <c r="K805" s="2"/>
      <c r="L805" s="2"/>
    </row>
    <row r="806">
      <c r="G806" s="2"/>
      <c r="H806" s="2"/>
      <c r="I806" s="2"/>
      <c r="J806" s="2"/>
      <c r="K806" s="2"/>
      <c r="L806" s="2"/>
    </row>
    <row r="807">
      <c r="G807" s="2"/>
      <c r="H807" s="2"/>
      <c r="I807" s="2"/>
      <c r="J807" s="2"/>
      <c r="K807" s="2"/>
      <c r="L807" s="2"/>
    </row>
    <row r="808">
      <c r="G808" s="2"/>
      <c r="H808" s="2"/>
      <c r="I808" s="2"/>
      <c r="J808" s="2"/>
      <c r="K808" s="2"/>
      <c r="L808" s="2"/>
    </row>
    <row r="809">
      <c r="G809" s="2"/>
      <c r="H809" s="2"/>
      <c r="I809" s="2"/>
      <c r="J809" s="2"/>
      <c r="K809" s="2"/>
      <c r="L809" s="2"/>
    </row>
    <row r="810">
      <c r="G810" s="2"/>
      <c r="H810" s="2"/>
      <c r="I810" s="2"/>
      <c r="J810" s="2"/>
      <c r="K810" s="2"/>
      <c r="L810" s="2"/>
    </row>
    <row r="811">
      <c r="G811" s="2"/>
      <c r="H811" s="2"/>
      <c r="I811" s="2"/>
      <c r="J811" s="2"/>
      <c r="K811" s="2"/>
      <c r="L811" s="2"/>
    </row>
    <row r="812">
      <c r="G812" s="2"/>
      <c r="H812" s="2"/>
      <c r="I812" s="2"/>
      <c r="J812" s="2"/>
      <c r="K812" s="2"/>
      <c r="L812" s="2"/>
    </row>
    <row r="813">
      <c r="G813" s="2"/>
      <c r="H813" s="2"/>
      <c r="I813" s="2"/>
      <c r="J813" s="2"/>
      <c r="K813" s="2"/>
      <c r="L813" s="2"/>
    </row>
    <row r="814">
      <c r="G814" s="2"/>
      <c r="H814" s="2"/>
      <c r="I814" s="2"/>
      <c r="J814" s="2"/>
      <c r="K814" s="2"/>
      <c r="L814" s="2"/>
    </row>
    <row r="815">
      <c r="G815" s="2"/>
      <c r="H815" s="2"/>
      <c r="I815" s="2"/>
      <c r="J815" s="2"/>
      <c r="K815" s="2"/>
      <c r="L815" s="2"/>
    </row>
    <row r="816">
      <c r="G816" s="2"/>
      <c r="H816" s="2"/>
      <c r="I816" s="2"/>
      <c r="J816" s="2"/>
      <c r="K816" s="2"/>
      <c r="L816" s="2"/>
    </row>
    <row r="817">
      <c r="G817" s="2"/>
      <c r="H817" s="2"/>
      <c r="I817" s="2"/>
      <c r="J817" s="2"/>
      <c r="K817" s="2"/>
      <c r="L817" s="2"/>
    </row>
    <row r="818">
      <c r="G818" s="2"/>
      <c r="H818" s="2"/>
      <c r="I818" s="2"/>
      <c r="J818" s="2"/>
      <c r="K818" s="2"/>
      <c r="L818" s="2"/>
    </row>
    <row r="819">
      <c r="G819" s="2"/>
      <c r="H819" s="2"/>
      <c r="I819" s="2"/>
      <c r="J819" s="2"/>
      <c r="K819" s="2"/>
      <c r="L819" s="2"/>
    </row>
    <row r="820">
      <c r="G820" s="2"/>
      <c r="H820" s="2"/>
      <c r="I820" s="2"/>
      <c r="J820" s="2"/>
      <c r="K820" s="2"/>
      <c r="L820" s="2"/>
    </row>
    <row r="821">
      <c r="G821" s="2"/>
      <c r="H821" s="2"/>
      <c r="I821" s="2"/>
      <c r="J821" s="2"/>
      <c r="K821" s="2"/>
      <c r="L821" s="2"/>
    </row>
    <row r="822">
      <c r="G822" s="2"/>
      <c r="H822" s="2"/>
      <c r="I822" s="2"/>
      <c r="J822" s="2"/>
      <c r="K822" s="2"/>
      <c r="L822" s="2"/>
    </row>
    <row r="823">
      <c r="G823" s="2"/>
      <c r="H823" s="2"/>
      <c r="I823" s="2"/>
      <c r="J823" s="2"/>
      <c r="K823" s="2"/>
      <c r="L823" s="2"/>
    </row>
    <row r="824">
      <c r="G824" s="2"/>
      <c r="H824" s="2"/>
      <c r="I824" s="2"/>
      <c r="J824" s="2"/>
      <c r="K824" s="2"/>
      <c r="L824" s="2"/>
    </row>
    <row r="825">
      <c r="G825" s="2"/>
      <c r="H825" s="2"/>
      <c r="I825" s="2"/>
      <c r="J825" s="2"/>
      <c r="K825" s="2"/>
      <c r="L825" s="2"/>
    </row>
    <row r="826">
      <c r="G826" s="2"/>
      <c r="H826" s="2"/>
      <c r="I826" s="2"/>
      <c r="J826" s="2"/>
      <c r="K826" s="2"/>
      <c r="L826" s="2"/>
    </row>
    <row r="827">
      <c r="G827" s="2"/>
      <c r="H827" s="2"/>
      <c r="I827" s="2"/>
      <c r="J827" s="2"/>
      <c r="K827" s="2"/>
      <c r="L827" s="2"/>
    </row>
    <row r="828">
      <c r="G828" s="2"/>
      <c r="H828" s="2"/>
      <c r="I828" s="2"/>
      <c r="J828" s="2"/>
      <c r="K828" s="2"/>
      <c r="L828" s="2"/>
    </row>
    <row r="829">
      <c r="G829" s="2"/>
      <c r="H829" s="2"/>
      <c r="I829" s="2"/>
      <c r="J829" s="2"/>
      <c r="K829" s="2"/>
      <c r="L829" s="2"/>
    </row>
    <row r="830">
      <c r="G830" s="2"/>
      <c r="H830" s="2"/>
      <c r="I830" s="2"/>
      <c r="J830" s="2"/>
      <c r="K830" s="2"/>
      <c r="L830" s="2"/>
    </row>
    <row r="831">
      <c r="G831" s="2"/>
      <c r="H831" s="2"/>
      <c r="I831" s="2"/>
      <c r="J831" s="2"/>
      <c r="K831" s="2"/>
      <c r="L831" s="2"/>
    </row>
    <row r="832">
      <c r="G832" s="2"/>
      <c r="H832" s="2"/>
      <c r="I832" s="2"/>
      <c r="J832" s="2"/>
      <c r="K832" s="2"/>
      <c r="L832" s="2"/>
    </row>
    <row r="833">
      <c r="G833" s="2"/>
      <c r="H833" s="2"/>
      <c r="I833" s="2"/>
      <c r="J833" s="2"/>
      <c r="K833" s="2"/>
      <c r="L833" s="2"/>
    </row>
    <row r="834">
      <c r="G834" s="2"/>
      <c r="H834" s="2"/>
      <c r="I834" s="2"/>
      <c r="J834" s="2"/>
      <c r="K834" s="2"/>
      <c r="L834" s="2"/>
    </row>
    <row r="835">
      <c r="G835" s="2"/>
      <c r="H835" s="2"/>
      <c r="I835" s="2"/>
      <c r="J835" s="2"/>
      <c r="K835" s="2"/>
      <c r="L835" s="2"/>
    </row>
    <row r="836">
      <c r="G836" s="2"/>
      <c r="H836" s="2"/>
      <c r="I836" s="2"/>
      <c r="J836" s="2"/>
      <c r="K836" s="2"/>
      <c r="L836" s="2"/>
    </row>
    <row r="837">
      <c r="G837" s="2"/>
      <c r="H837" s="2"/>
      <c r="I837" s="2"/>
      <c r="J837" s="2"/>
      <c r="K837" s="2"/>
      <c r="L837" s="2"/>
    </row>
    <row r="838">
      <c r="G838" s="2"/>
      <c r="H838" s="2"/>
      <c r="I838" s="2"/>
      <c r="J838" s="2"/>
      <c r="K838" s="2"/>
      <c r="L838" s="2"/>
    </row>
    <row r="839">
      <c r="G839" s="2"/>
      <c r="H839" s="2"/>
      <c r="I839" s="2"/>
      <c r="J839" s="2"/>
      <c r="K839" s="2"/>
      <c r="L839" s="2"/>
    </row>
    <row r="840">
      <c r="G840" s="2"/>
      <c r="H840" s="2"/>
      <c r="I840" s="2"/>
      <c r="J840" s="2"/>
      <c r="K840" s="2"/>
      <c r="L840" s="2"/>
    </row>
    <row r="841">
      <c r="G841" s="2"/>
      <c r="H841" s="2"/>
      <c r="I841" s="2"/>
      <c r="J841" s="2"/>
      <c r="K841" s="2"/>
      <c r="L841" s="2"/>
    </row>
    <row r="842">
      <c r="G842" s="2"/>
      <c r="H842" s="2"/>
      <c r="I842" s="2"/>
      <c r="J842" s="2"/>
      <c r="K842" s="2"/>
      <c r="L842" s="2"/>
    </row>
    <row r="843">
      <c r="G843" s="2"/>
      <c r="H843" s="2"/>
      <c r="I843" s="2"/>
      <c r="J843" s="2"/>
      <c r="K843" s="2"/>
      <c r="L843" s="2"/>
    </row>
    <row r="844">
      <c r="G844" s="2"/>
      <c r="H844" s="2"/>
      <c r="I844" s="2"/>
      <c r="J844" s="2"/>
      <c r="K844" s="2"/>
      <c r="L844" s="2"/>
    </row>
    <row r="845">
      <c r="G845" s="2"/>
      <c r="H845" s="2"/>
      <c r="I845" s="2"/>
      <c r="J845" s="2"/>
      <c r="K845" s="2"/>
      <c r="L845" s="2"/>
    </row>
    <row r="846">
      <c r="G846" s="2"/>
      <c r="H846" s="2"/>
      <c r="I846" s="2"/>
      <c r="J846" s="2"/>
      <c r="K846" s="2"/>
      <c r="L846" s="2"/>
    </row>
    <row r="847">
      <c r="G847" s="2"/>
      <c r="H847" s="2"/>
      <c r="I847" s="2"/>
      <c r="J847" s="2"/>
      <c r="K847" s="2"/>
      <c r="L847" s="2"/>
    </row>
    <row r="848">
      <c r="G848" s="2"/>
      <c r="H848" s="2"/>
      <c r="I848" s="2"/>
      <c r="J848" s="2"/>
      <c r="K848" s="2"/>
      <c r="L848" s="2"/>
    </row>
    <row r="849">
      <c r="G849" s="2"/>
      <c r="H849" s="2"/>
      <c r="I849" s="2"/>
      <c r="J849" s="2"/>
      <c r="K849" s="2"/>
      <c r="L849" s="2"/>
    </row>
    <row r="850">
      <c r="G850" s="2"/>
      <c r="H850" s="2"/>
      <c r="I850" s="2"/>
      <c r="J850" s="2"/>
      <c r="K850" s="2"/>
      <c r="L850" s="2"/>
    </row>
    <row r="851">
      <c r="G851" s="2"/>
      <c r="H851" s="2"/>
      <c r="I851" s="2"/>
      <c r="J851" s="2"/>
      <c r="K851" s="2"/>
      <c r="L851" s="2"/>
    </row>
    <row r="852">
      <c r="G852" s="2"/>
      <c r="H852" s="2"/>
      <c r="I852" s="2"/>
      <c r="J852" s="2"/>
      <c r="K852" s="2"/>
      <c r="L852" s="2"/>
    </row>
    <row r="853">
      <c r="G853" s="2"/>
      <c r="H853" s="2"/>
      <c r="I853" s="2"/>
      <c r="J853" s="2"/>
      <c r="K853" s="2"/>
      <c r="L853" s="2"/>
    </row>
    <row r="854">
      <c r="G854" s="2"/>
      <c r="H854" s="2"/>
      <c r="I854" s="2"/>
      <c r="J854" s="2"/>
      <c r="K854" s="2"/>
      <c r="L854" s="2"/>
    </row>
    <row r="855">
      <c r="G855" s="2"/>
      <c r="H855" s="2"/>
      <c r="I855" s="2"/>
      <c r="J855" s="2"/>
      <c r="K855" s="2"/>
      <c r="L855" s="2"/>
    </row>
    <row r="856">
      <c r="G856" s="2"/>
      <c r="H856" s="2"/>
      <c r="I856" s="2"/>
      <c r="J856" s="2"/>
      <c r="K856" s="2"/>
      <c r="L856" s="2"/>
    </row>
    <row r="857">
      <c r="G857" s="2"/>
      <c r="H857" s="2"/>
      <c r="I857" s="2"/>
      <c r="J857" s="2"/>
      <c r="K857" s="2"/>
      <c r="L857" s="2"/>
    </row>
    <row r="858">
      <c r="G858" s="2"/>
      <c r="H858" s="2"/>
      <c r="I858" s="2"/>
      <c r="J858" s="2"/>
      <c r="K858" s="2"/>
      <c r="L858" s="2"/>
    </row>
    <row r="859">
      <c r="G859" s="2"/>
      <c r="H859" s="2"/>
      <c r="I859" s="2"/>
      <c r="J859" s="2"/>
      <c r="K859" s="2"/>
      <c r="L859" s="2"/>
    </row>
    <row r="860">
      <c r="G860" s="2"/>
      <c r="H860" s="2"/>
      <c r="I860" s="2"/>
      <c r="J860" s="2"/>
      <c r="K860" s="2"/>
      <c r="L860" s="2"/>
    </row>
    <row r="861">
      <c r="G861" s="2"/>
      <c r="H861" s="2"/>
      <c r="I861" s="2"/>
      <c r="J861" s="2"/>
      <c r="K861" s="2"/>
      <c r="L861" s="2"/>
    </row>
    <row r="862">
      <c r="G862" s="2"/>
      <c r="H862" s="2"/>
      <c r="I862" s="2"/>
      <c r="J862" s="2"/>
      <c r="K862" s="2"/>
      <c r="L862" s="2"/>
    </row>
    <row r="863">
      <c r="G863" s="2"/>
      <c r="H863" s="2"/>
      <c r="I863" s="2"/>
      <c r="J863" s="2"/>
      <c r="K863" s="2"/>
      <c r="L863" s="2"/>
    </row>
    <row r="864">
      <c r="G864" s="2"/>
      <c r="H864" s="2"/>
      <c r="I864" s="2"/>
      <c r="J864" s="2"/>
      <c r="K864" s="2"/>
      <c r="L864" s="2"/>
    </row>
    <row r="865">
      <c r="G865" s="2"/>
      <c r="H865" s="2"/>
      <c r="I865" s="2"/>
      <c r="J865" s="2"/>
      <c r="K865" s="2"/>
      <c r="L865" s="2"/>
    </row>
    <row r="866">
      <c r="G866" s="2"/>
      <c r="H866" s="2"/>
      <c r="I866" s="2"/>
      <c r="J866" s="2"/>
      <c r="K866" s="2"/>
      <c r="L866" s="2"/>
    </row>
    <row r="867">
      <c r="G867" s="2"/>
      <c r="H867" s="2"/>
      <c r="I867" s="2"/>
      <c r="J867" s="2"/>
      <c r="K867" s="2"/>
      <c r="L867" s="2"/>
    </row>
    <row r="868">
      <c r="G868" s="2"/>
      <c r="H868" s="2"/>
      <c r="I868" s="2"/>
      <c r="J868" s="2"/>
      <c r="K868" s="2"/>
      <c r="L868" s="2"/>
    </row>
    <row r="869">
      <c r="G869" s="2"/>
      <c r="H869" s="2"/>
      <c r="I869" s="2"/>
      <c r="J869" s="2"/>
      <c r="K869" s="2"/>
      <c r="L869" s="2"/>
    </row>
    <row r="870">
      <c r="G870" s="2"/>
      <c r="H870" s="2"/>
      <c r="I870" s="2"/>
      <c r="J870" s="2"/>
      <c r="K870" s="2"/>
      <c r="L870" s="2"/>
    </row>
    <row r="871">
      <c r="G871" s="2"/>
      <c r="H871" s="2"/>
      <c r="I871" s="2"/>
      <c r="J871" s="2"/>
      <c r="K871" s="2"/>
      <c r="L871" s="2"/>
    </row>
    <row r="872">
      <c r="G872" s="2"/>
      <c r="H872" s="2"/>
      <c r="I872" s="2"/>
      <c r="J872" s="2"/>
      <c r="K872" s="2"/>
      <c r="L872" s="2"/>
    </row>
    <row r="873">
      <c r="G873" s="2"/>
      <c r="H873" s="2"/>
      <c r="I873" s="2"/>
      <c r="J873" s="2"/>
      <c r="K873" s="2"/>
      <c r="L873" s="2"/>
    </row>
    <row r="874">
      <c r="G874" s="2"/>
      <c r="H874" s="2"/>
      <c r="I874" s="2"/>
      <c r="J874" s="2"/>
      <c r="K874" s="2"/>
      <c r="L874" s="2"/>
    </row>
    <row r="875">
      <c r="G875" s="2"/>
      <c r="H875" s="2"/>
      <c r="I875" s="2"/>
      <c r="J875" s="2"/>
      <c r="K875" s="2"/>
      <c r="L875" s="2"/>
    </row>
    <row r="876">
      <c r="G876" s="2"/>
      <c r="H876" s="2"/>
      <c r="I876" s="2"/>
      <c r="J876" s="2"/>
      <c r="K876" s="2"/>
      <c r="L876" s="2"/>
    </row>
    <row r="877">
      <c r="G877" s="2"/>
      <c r="H877" s="2"/>
      <c r="I877" s="2"/>
      <c r="J877" s="2"/>
      <c r="K877" s="2"/>
      <c r="L877" s="2"/>
    </row>
    <row r="878">
      <c r="G878" s="2"/>
      <c r="H878" s="2"/>
      <c r="I878" s="2"/>
      <c r="J878" s="2"/>
      <c r="K878" s="2"/>
      <c r="L878" s="2"/>
    </row>
    <row r="879">
      <c r="G879" s="2"/>
      <c r="H879" s="2"/>
      <c r="I879" s="2"/>
      <c r="J879" s="2"/>
      <c r="K879" s="2"/>
      <c r="L879" s="2"/>
    </row>
    <row r="880">
      <c r="G880" s="2"/>
      <c r="H880" s="2"/>
      <c r="I880" s="2"/>
      <c r="J880" s="2"/>
      <c r="K880" s="2"/>
      <c r="L880" s="2"/>
    </row>
    <row r="881">
      <c r="G881" s="2"/>
      <c r="H881" s="2"/>
      <c r="I881" s="2"/>
      <c r="J881" s="2"/>
      <c r="K881" s="2"/>
      <c r="L881" s="2"/>
    </row>
    <row r="882">
      <c r="G882" s="2"/>
      <c r="H882" s="2"/>
      <c r="I882" s="2"/>
      <c r="J882" s="2"/>
      <c r="K882" s="2"/>
      <c r="L882" s="2"/>
    </row>
    <row r="883">
      <c r="G883" s="2"/>
      <c r="H883" s="2"/>
      <c r="I883" s="2"/>
      <c r="J883" s="2"/>
      <c r="K883" s="2"/>
      <c r="L883" s="2"/>
    </row>
    <row r="884">
      <c r="G884" s="2"/>
      <c r="H884" s="2"/>
      <c r="I884" s="2"/>
      <c r="J884" s="2"/>
      <c r="K884" s="2"/>
      <c r="L884" s="2"/>
    </row>
    <row r="885">
      <c r="G885" s="2"/>
      <c r="H885" s="2"/>
      <c r="I885" s="2"/>
      <c r="J885" s="2"/>
      <c r="K885" s="2"/>
      <c r="L885" s="2"/>
    </row>
    <row r="886">
      <c r="G886" s="2"/>
      <c r="H886" s="2"/>
      <c r="I886" s="2"/>
      <c r="J886" s="2"/>
      <c r="K886" s="2"/>
      <c r="L886" s="2"/>
    </row>
    <row r="887">
      <c r="G887" s="2"/>
      <c r="H887" s="2"/>
      <c r="I887" s="2"/>
      <c r="J887" s="2"/>
      <c r="K887" s="2"/>
      <c r="L887" s="2"/>
    </row>
    <row r="888">
      <c r="G888" s="2"/>
      <c r="H888" s="2"/>
      <c r="I888" s="2"/>
      <c r="J888" s="2"/>
      <c r="K888" s="2"/>
      <c r="L888" s="2"/>
    </row>
    <row r="889">
      <c r="G889" s="2"/>
      <c r="H889" s="2"/>
      <c r="I889" s="2"/>
      <c r="J889" s="2"/>
      <c r="K889" s="2"/>
      <c r="L889" s="2"/>
    </row>
    <row r="890">
      <c r="G890" s="2"/>
      <c r="H890" s="2"/>
      <c r="I890" s="2"/>
      <c r="J890" s="2"/>
      <c r="K890" s="2"/>
      <c r="L890" s="2"/>
    </row>
    <row r="891">
      <c r="G891" s="2"/>
      <c r="H891" s="2"/>
      <c r="I891" s="2"/>
      <c r="J891" s="2"/>
      <c r="K891" s="2"/>
      <c r="L891" s="2"/>
    </row>
    <row r="892">
      <c r="G892" s="2"/>
      <c r="H892" s="2"/>
      <c r="I892" s="2"/>
      <c r="J892" s="2"/>
      <c r="K892" s="2"/>
      <c r="L892" s="2"/>
    </row>
    <row r="893">
      <c r="G893" s="2"/>
      <c r="H893" s="2"/>
      <c r="I893" s="2"/>
      <c r="J893" s="2"/>
      <c r="K893" s="2"/>
      <c r="L893" s="2"/>
    </row>
    <row r="894">
      <c r="G894" s="2"/>
      <c r="H894" s="2"/>
      <c r="I894" s="2"/>
      <c r="J894" s="2"/>
      <c r="K894" s="2"/>
      <c r="L894" s="2"/>
    </row>
    <row r="895">
      <c r="G895" s="2"/>
      <c r="H895" s="2"/>
      <c r="I895" s="2"/>
      <c r="J895" s="2"/>
      <c r="K895" s="2"/>
      <c r="L895" s="2"/>
    </row>
    <row r="896">
      <c r="G896" s="2"/>
      <c r="H896" s="2"/>
      <c r="I896" s="2"/>
      <c r="J896" s="2"/>
      <c r="K896" s="2"/>
      <c r="L896" s="2"/>
    </row>
    <row r="897">
      <c r="G897" s="2"/>
      <c r="H897" s="2"/>
      <c r="I897" s="2"/>
      <c r="J897" s="2"/>
      <c r="K897" s="2"/>
      <c r="L897" s="2"/>
    </row>
    <row r="898">
      <c r="G898" s="2"/>
      <c r="H898" s="2"/>
      <c r="I898" s="2"/>
      <c r="J898" s="2"/>
      <c r="K898" s="2"/>
      <c r="L898" s="2"/>
    </row>
    <row r="899">
      <c r="G899" s="2"/>
      <c r="H899" s="2"/>
      <c r="I899" s="2"/>
      <c r="J899" s="2"/>
      <c r="K899" s="2"/>
      <c r="L899" s="2"/>
    </row>
    <row r="900">
      <c r="G900" s="2"/>
      <c r="H900" s="2"/>
      <c r="I900" s="2"/>
      <c r="J900" s="2"/>
      <c r="K900" s="2"/>
      <c r="L900" s="2"/>
    </row>
    <row r="901">
      <c r="G901" s="2"/>
      <c r="H901" s="2"/>
      <c r="I901" s="2"/>
      <c r="J901" s="2"/>
      <c r="K901" s="2"/>
      <c r="L901" s="2"/>
    </row>
    <row r="902">
      <c r="G902" s="2"/>
      <c r="H902" s="2"/>
      <c r="I902" s="2"/>
      <c r="J902" s="2"/>
      <c r="K902" s="2"/>
      <c r="L902" s="2"/>
    </row>
    <row r="903">
      <c r="G903" s="2"/>
      <c r="H903" s="2"/>
      <c r="I903" s="2"/>
      <c r="J903" s="2"/>
      <c r="K903" s="2"/>
      <c r="L903" s="2"/>
    </row>
    <row r="904">
      <c r="G904" s="2"/>
      <c r="H904" s="2"/>
      <c r="I904" s="2"/>
      <c r="J904" s="2"/>
      <c r="K904" s="2"/>
      <c r="L904" s="2"/>
    </row>
    <row r="905">
      <c r="G905" s="2"/>
      <c r="H905" s="2"/>
      <c r="I905" s="2"/>
      <c r="J905" s="2"/>
      <c r="K905" s="2"/>
      <c r="L905" s="2"/>
    </row>
    <row r="906">
      <c r="G906" s="2"/>
      <c r="H906" s="2"/>
      <c r="I906" s="2"/>
      <c r="J906" s="2"/>
      <c r="K906" s="2"/>
      <c r="L906" s="2"/>
    </row>
    <row r="907">
      <c r="G907" s="2"/>
      <c r="H907" s="2"/>
      <c r="I907" s="2"/>
      <c r="J907" s="2"/>
      <c r="K907" s="2"/>
      <c r="L907" s="2"/>
    </row>
    <row r="908">
      <c r="G908" s="2"/>
      <c r="H908" s="2"/>
      <c r="I908" s="2"/>
      <c r="J908" s="2"/>
      <c r="K908" s="2"/>
      <c r="L908" s="2"/>
    </row>
    <row r="909">
      <c r="G909" s="2"/>
      <c r="H909" s="2"/>
      <c r="I909" s="2"/>
      <c r="J909" s="2"/>
      <c r="K909" s="2"/>
      <c r="L909" s="2"/>
    </row>
    <row r="910">
      <c r="G910" s="2"/>
      <c r="H910" s="2"/>
      <c r="I910" s="2"/>
      <c r="J910" s="2"/>
      <c r="K910" s="2"/>
      <c r="L910" s="2"/>
    </row>
    <row r="911">
      <c r="G911" s="2"/>
      <c r="H911" s="2"/>
      <c r="I911" s="2"/>
      <c r="J911" s="2"/>
      <c r="K911" s="2"/>
      <c r="L911" s="2"/>
    </row>
    <row r="912">
      <c r="G912" s="2"/>
      <c r="H912" s="2"/>
      <c r="I912" s="2"/>
      <c r="J912" s="2"/>
      <c r="K912" s="2"/>
      <c r="L912" s="2"/>
    </row>
    <row r="913">
      <c r="G913" s="2"/>
      <c r="H913" s="2"/>
      <c r="I913" s="2"/>
      <c r="J913" s="2"/>
      <c r="K913" s="2"/>
      <c r="L913" s="2"/>
    </row>
    <row r="914">
      <c r="G914" s="2"/>
      <c r="H914" s="2"/>
      <c r="I914" s="2"/>
      <c r="J914" s="2"/>
      <c r="K914" s="2"/>
      <c r="L914" s="2"/>
    </row>
    <row r="915">
      <c r="G915" s="2"/>
      <c r="H915" s="2"/>
      <c r="I915" s="2"/>
      <c r="J915" s="2"/>
      <c r="K915" s="2"/>
      <c r="L915" s="2"/>
    </row>
    <row r="916">
      <c r="G916" s="2"/>
      <c r="H916" s="2"/>
      <c r="I916" s="2"/>
      <c r="J916" s="2"/>
      <c r="K916" s="2"/>
      <c r="L916" s="2"/>
    </row>
    <row r="917">
      <c r="G917" s="2"/>
      <c r="H917" s="2"/>
      <c r="I917" s="2"/>
      <c r="J917" s="2"/>
      <c r="K917" s="2"/>
      <c r="L917" s="2"/>
    </row>
    <row r="918">
      <c r="G918" s="2"/>
      <c r="H918" s="2"/>
      <c r="I918" s="2"/>
      <c r="J918" s="2"/>
      <c r="K918" s="2"/>
      <c r="L918" s="2"/>
    </row>
    <row r="919">
      <c r="G919" s="2"/>
      <c r="H919" s="2"/>
      <c r="I919" s="2"/>
      <c r="J919" s="2"/>
      <c r="K919" s="2"/>
      <c r="L919" s="2"/>
    </row>
    <row r="920">
      <c r="G920" s="2"/>
      <c r="H920" s="2"/>
      <c r="I920" s="2"/>
      <c r="J920" s="2"/>
      <c r="K920" s="2"/>
      <c r="L920" s="2"/>
    </row>
    <row r="921">
      <c r="G921" s="2"/>
      <c r="H921" s="2"/>
      <c r="I921" s="2"/>
      <c r="J921" s="2"/>
      <c r="K921" s="2"/>
      <c r="L921" s="2"/>
    </row>
    <row r="922">
      <c r="G922" s="2"/>
      <c r="H922" s="2"/>
      <c r="I922" s="2"/>
      <c r="J922" s="2"/>
      <c r="K922" s="2"/>
      <c r="L922" s="2"/>
    </row>
    <row r="923">
      <c r="G923" s="2"/>
      <c r="H923" s="2"/>
      <c r="I923" s="2"/>
      <c r="J923" s="2"/>
      <c r="K923" s="2"/>
      <c r="L923" s="2"/>
    </row>
    <row r="924">
      <c r="G924" s="2"/>
      <c r="H924" s="2"/>
      <c r="I924" s="2"/>
      <c r="J924" s="2"/>
      <c r="K924" s="2"/>
      <c r="L924" s="2"/>
    </row>
    <row r="925">
      <c r="G925" s="2"/>
      <c r="H925" s="2"/>
      <c r="I925" s="2"/>
      <c r="J925" s="2"/>
      <c r="K925" s="2"/>
      <c r="L925" s="2"/>
    </row>
    <row r="926">
      <c r="G926" s="2"/>
      <c r="H926" s="2"/>
      <c r="I926" s="2"/>
      <c r="J926" s="2"/>
      <c r="K926" s="2"/>
      <c r="L926" s="2"/>
    </row>
    <row r="927">
      <c r="G927" s="2"/>
      <c r="H927" s="2"/>
      <c r="I927" s="2"/>
      <c r="J927" s="2"/>
      <c r="K927" s="2"/>
      <c r="L927" s="2"/>
    </row>
    <row r="928">
      <c r="G928" s="2"/>
      <c r="H928" s="2"/>
      <c r="I928" s="2"/>
      <c r="J928" s="2"/>
      <c r="K928" s="2"/>
      <c r="L928" s="2"/>
    </row>
    <row r="929">
      <c r="G929" s="2"/>
      <c r="H929" s="2"/>
      <c r="I929" s="2"/>
      <c r="J929" s="2"/>
      <c r="K929" s="2"/>
      <c r="L929" s="2"/>
    </row>
    <row r="930">
      <c r="G930" s="2"/>
      <c r="H930" s="2"/>
      <c r="I930" s="2"/>
      <c r="J930" s="2"/>
      <c r="K930" s="2"/>
      <c r="L930" s="2"/>
    </row>
    <row r="931">
      <c r="G931" s="2"/>
      <c r="H931" s="2"/>
      <c r="I931" s="2"/>
      <c r="J931" s="2"/>
      <c r="K931" s="2"/>
      <c r="L931" s="2"/>
    </row>
    <row r="932">
      <c r="G932" s="2"/>
      <c r="H932" s="2"/>
      <c r="I932" s="2"/>
      <c r="J932" s="2"/>
      <c r="K932" s="2"/>
      <c r="L932" s="2"/>
    </row>
    <row r="933">
      <c r="G933" s="2"/>
      <c r="H933" s="2"/>
      <c r="I933" s="2"/>
      <c r="J933" s="2"/>
      <c r="K933" s="2"/>
      <c r="L933" s="2"/>
    </row>
    <row r="934">
      <c r="G934" s="2"/>
      <c r="H934" s="2"/>
      <c r="I934" s="2"/>
      <c r="J934" s="2"/>
      <c r="K934" s="2"/>
      <c r="L934" s="2"/>
    </row>
    <row r="935">
      <c r="G935" s="2"/>
      <c r="H935" s="2"/>
      <c r="I935" s="2"/>
      <c r="J935" s="2"/>
      <c r="K935" s="2"/>
      <c r="L935" s="2"/>
    </row>
    <row r="936">
      <c r="G936" s="2"/>
      <c r="H936" s="2"/>
      <c r="I936" s="2"/>
      <c r="J936" s="2"/>
      <c r="K936" s="2"/>
      <c r="L936" s="2"/>
    </row>
    <row r="937">
      <c r="G937" s="2"/>
      <c r="H937" s="2"/>
      <c r="I937" s="2"/>
      <c r="J937" s="2"/>
      <c r="K937" s="2"/>
      <c r="L937" s="2"/>
    </row>
    <row r="938">
      <c r="G938" s="2"/>
      <c r="H938" s="2"/>
      <c r="I938" s="2"/>
      <c r="J938" s="2"/>
      <c r="K938" s="2"/>
      <c r="L938" s="2"/>
    </row>
    <row r="939">
      <c r="G939" s="2"/>
      <c r="H939" s="2"/>
      <c r="I939" s="2"/>
      <c r="J939" s="2"/>
      <c r="K939" s="2"/>
      <c r="L939" s="2"/>
    </row>
    <row r="940">
      <c r="G940" s="2"/>
      <c r="H940" s="2"/>
      <c r="I940" s="2"/>
      <c r="J940" s="2"/>
      <c r="K940" s="2"/>
      <c r="L940" s="2"/>
    </row>
    <row r="941">
      <c r="G941" s="2"/>
      <c r="H941" s="2"/>
      <c r="I941" s="2"/>
      <c r="J941" s="2"/>
      <c r="K941" s="2"/>
      <c r="L941" s="2"/>
    </row>
    <row r="942">
      <c r="G942" s="2"/>
      <c r="H942" s="2"/>
      <c r="I942" s="2"/>
      <c r="J942" s="2"/>
      <c r="K942" s="2"/>
      <c r="L942" s="2"/>
    </row>
    <row r="943">
      <c r="G943" s="2"/>
      <c r="H943" s="2"/>
      <c r="I943" s="2"/>
      <c r="J943" s="2"/>
      <c r="K943" s="2"/>
      <c r="L943" s="2"/>
    </row>
    <row r="944">
      <c r="G944" s="2"/>
      <c r="H944" s="2"/>
      <c r="I944" s="2"/>
      <c r="J944" s="2"/>
      <c r="K944" s="2"/>
      <c r="L944" s="2"/>
    </row>
    <row r="945">
      <c r="G945" s="2"/>
      <c r="H945" s="2"/>
      <c r="I945" s="2"/>
      <c r="J945" s="2"/>
      <c r="K945" s="2"/>
      <c r="L945" s="2"/>
    </row>
    <row r="946">
      <c r="G946" s="2"/>
      <c r="H946" s="2"/>
      <c r="I946" s="2"/>
      <c r="J946" s="2"/>
      <c r="K946" s="2"/>
      <c r="L946" s="2"/>
    </row>
    <row r="947">
      <c r="G947" s="2"/>
      <c r="H947" s="2"/>
      <c r="I947" s="2"/>
      <c r="J947" s="2"/>
      <c r="K947" s="2"/>
      <c r="L947" s="2"/>
    </row>
    <row r="948">
      <c r="G948" s="2"/>
      <c r="H948" s="2"/>
      <c r="I948" s="2"/>
      <c r="J948" s="2"/>
      <c r="K948" s="2"/>
      <c r="L948" s="2"/>
    </row>
    <row r="949">
      <c r="G949" s="2"/>
      <c r="H949" s="2"/>
      <c r="I949" s="2"/>
      <c r="J949" s="2"/>
      <c r="K949" s="2"/>
      <c r="L949" s="2"/>
    </row>
    <row r="950">
      <c r="G950" s="2"/>
      <c r="H950" s="2"/>
      <c r="I950" s="2"/>
      <c r="J950" s="2"/>
      <c r="K950" s="2"/>
      <c r="L950" s="2"/>
    </row>
    <row r="951">
      <c r="G951" s="2"/>
      <c r="H951" s="2"/>
      <c r="I951" s="2"/>
      <c r="J951" s="2"/>
      <c r="K951" s="2"/>
      <c r="L951" s="2"/>
    </row>
    <row r="952">
      <c r="G952" s="2"/>
      <c r="H952" s="2"/>
      <c r="I952" s="2"/>
      <c r="J952" s="2"/>
      <c r="K952" s="2"/>
      <c r="L952" s="2"/>
    </row>
    <row r="953">
      <c r="G953" s="2"/>
      <c r="H953" s="2"/>
      <c r="I953" s="2"/>
      <c r="J953" s="2"/>
      <c r="K953" s="2"/>
      <c r="L953" s="2"/>
    </row>
    <row r="954">
      <c r="G954" s="2"/>
      <c r="H954" s="2"/>
      <c r="I954" s="2"/>
      <c r="J954" s="2"/>
      <c r="K954" s="2"/>
      <c r="L954" s="2"/>
    </row>
    <row r="955">
      <c r="G955" s="2"/>
      <c r="H955" s="2"/>
      <c r="I955" s="2"/>
      <c r="J955" s="2"/>
      <c r="K955" s="2"/>
      <c r="L955" s="2"/>
    </row>
    <row r="956">
      <c r="G956" s="2"/>
      <c r="H956" s="2"/>
      <c r="I956" s="2"/>
      <c r="J956" s="2"/>
      <c r="K956" s="2"/>
      <c r="L956" s="2"/>
    </row>
    <row r="957">
      <c r="G957" s="2"/>
      <c r="H957" s="2"/>
      <c r="I957" s="2"/>
      <c r="J957" s="2"/>
      <c r="K957" s="2"/>
      <c r="L957" s="2"/>
    </row>
    <row r="958">
      <c r="G958" s="2"/>
      <c r="H958" s="2"/>
      <c r="I958" s="2"/>
      <c r="J958" s="2"/>
      <c r="K958" s="2"/>
      <c r="L958" s="2"/>
    </row>
    <row r="959">
      <c r="G959" s="2"/>
      <c r="H959" s="2"/>
      <c r="I959" s="2"/>
      <c r="J959" s="2"/>
      <c r="K959" s="2"/>
      <c r="L959" s="2"/>
    </row>
    <row r="960">
      <c r="G960" s="2"/>
      <c r="H960" s="2"/>
      <c r="I960" s="2"/>
      <c r="J960" s="2"/>
      <c r="K960" s="2"/>
      <c r="L960" s="2"/>
    </row>
    <row r="961">
      <c r="G961" s="2"/>
      <c r="H961" s="2"/>
      <c r="I961" s="2"/>
      <c r="J961" s="2"/>
      <c r="K961" s="2"/>
      <c r="L961" s="2"/>
    </row>
    <row r="962">
      <c r="G962" s="2"/>
      <c r="H962" s="2"/>
      <c r="I962" s="2"/>
      <c r="J962" s="2"/>
      <c r="K962" s="2"/>
      <c r="L962" s="2"/>
    </row>
    <row r="963">
      <c r="G963" s="2"/>
      <c r="H963" s="2"/>
      <c r="I963" s="2"/>
      <c r="J963" s="2"/>
      <c r="K963" s="2"/>
      <c r="L963" s="2"/>
    </row>
    <row r="964">
      <c r="G964" s="2"/>
      <c r="H964" s="2"/>
      <c r="I964" s="2"/>
      <c r="J964" s="2"/>
      <c r="K964" s="2"/>
      <c r="L964" s="2"/>
    </row>
    <row r="965">
      <c r="G965" s="2"/>
      <c r="H965" s="2"/>
      <c r="I965" s="2"/>
      <c r="J965" s="2"/>
      <c r="K965" s="2"/>
      <c r="L965" s="2"/>
    </row>
    <row r="966">
      <c r="G966" s="2"/>
      <c r="H966" s="2"/>
      <c r="I966" s="2"/>
      <c r="J966" s="2"/>
      <c r="K966" s="2"/>
      <c r="L966" s="2"/>
    </row>
    <row r="967">
      <c r="G967" s="2"/>
      <c r="H967" s="2"/>
      <c r="I967" s="2"/>
      <c r="J967" s="2"/>
      <c r="K967" s="2"/>
      <c r="L967" s="2"/>
    </row>
    <row r="968">
      <c r="G968" s="2"/>
      <c r="H968" s="2"/>
      <c r="I968" s="2"/>
      <c r="J968" s="2"/>
      <c r="K968" s="2"/>
      <c r="L968" s="2"/>
    </row>
    <row r="969">
      <c r="G969" s="2"/>
      <c r="H969" s="2"/>
      <c r="I969" s="2"/>
      <c r="J969" s="2"/>
      <c r="K969" s="2"/>
      <c r="L969" s="2"/>
    </row>
    <row r="970">
      <c r="G970" s="2"/>
      <c r="H970" s="2"/>
      <c r="I970" s="2"/>
      <c r="J970" s="2"/>
      <c r="K970" s="2"/>
      <c r="L970" s="2"/>
    </row>
    <row r="971">
      <c r="G971" s="2"/>
      <c r="H971" s="2"/>
      <c r="I971" s="2"/>
      <c r="J971" s="2"/>
      <c r="K971" s="2"/>
      <c r="L971" s="2"/>
    </row>
    <row r="972">
      <c r="G972" s="2"/>
      <c r="H972" s="2"/>
      <c r="I972" s="2"/>
      <c r="J972" s="2"/>
      <c r="K972" s="2"/>
      <c r="L972" s="2"/>
    </row>
    <row r="973">
      <c r="G973" s="2"/>
      <c r="H973" s="2"/>
      <c r="I973" s="2"/>
      <c r="J973" s="2"/>
      <c r="K973" s="2"/>
      <c r="L973" s="2"/>
    </row>
    <row r="974">
      <c r="G974" s="2"/>
      <c r="H974" s="2"/>
      <c r="I974" s="2"/>
      <c r="J974" s="2"/>
      <c r="K974" s="2"/>
      <c r="L974" s="2"/>
    </row>
    <row r="975">
      <c r="G975" s="2"/>
      <c r="H975" s="2"/>
      <c r="I975" s="2"/>
      <c r="J975" s="2"/>
      <c r="K975" s="2"/>
      <c r="L975" s="2"/>
    </row>
    <row r="976">
      <c r="G976" s="2"/>
      <c r="H976" s="2"/>
      <c r="I976" s="2"/>
      <c r="J976" s="2"/>
      <c r="K976" s="2"/>
      <c r="L976" s="2"/>
    </row>
    <row r="977">
      <c r="G977" s="2"/>
      <c r="H977" s="2"/>
      <c r="I977" s="2"/>
      <c r="J977" s="2"/>
      <c r="K977" s="2"/>
      <c r="L977" s="2"/>
    </row>
    <row r="978">
      <c r="G978" s="2"/>
      <c r="H978" s="2"/>
      <c r="I978" s="2"/>
      <c r="J978" s="2"/>
      <c r="K978" s="2"/>
      <c r="L978" s="2"/>
    </row>
    <row r="979">
      <c r="G979" s="2"/>
      <c r="H979" s="2"/>
      <c r="I979" s="2"/>
      <c r="J979" s="2"/>
      <c r="K979" s="2"/>
      <c r="L979" s="2"/>
    </row>
    <row r="980">
      <c r="G980" s="2"/>
      <c r="H980" s="2"/>
      <c r="I980" s="2"/>
      <c r="J980" s="2"/>
      <c r="K980" s="2"/>
      <c r="L980" s="2"/>
    </row>
    <row r="981">
      <c r="G981" s="2"/>
      <c r="H981" s="2"/>
      <c r="I981" s="2"/>
      <c r="J981" s="2"/>
      <c r="K981" s="2"/>
      <c r="L981" s="2"/>
    </row>
    <row r="982">
      <c r="G982" s="2"/>
      <c r="H982" s="2"/>
      <c r="I982" s="2"/>
      <c r="J982" s="2"/>
      <c r="K982" s="2"/>
      <c r="L982" s="2"/>
    </row>
    <row r="983">
      <c r="G983" s="2"/>
      <c r="H983" s="2"/>
      <c r="I983" s="2"/>
      <c r="J983" s="2"/>
      <c r="K983" s="2"/>
      <c r="L983" s="2"/>
    </row>
    <row r="984">
      <c r="G984" s="2"/>
      <c r="H984" s="2"/>
      <c r="I984" s="2"/>
      <c r="J984" s="2"/>
      <c r="K984" s="2"/>
      <c r="L984" s="2"/>
    </row>
    <row r="985">
      <c r="G985" s="2"/>
      <c r="H985" s="2"/>
      <c r="I985" s="2"/>
      <c r="J985" s="2"/>
      <c r="K985" s="2"/>
      <c r="L985" s="2"/>
    </row>
    <row r="986">
      <c r="G986" s="2"/>
      <c r="H986" s="2"/>
      <c r="I986" s="2"/>
      <c r="J986" s="2"/>
      <c r="K986" s="2"/>
      <c r="L986" s="2"/>
    </row>
    <row r="987">
      <c r="G987" s="2"/>
      <c r="H987" s="2"/>
      <c r="I987" s="2"/>
      <c r="J987" s="2"/>
      <c r="K987" s="2"/>
      <c r="L987" s="2"/>
    </row>
    <row r="988">
      <c r="G988" s="2"/>
      <c r="H988" s="2"/>
      <c r="I988" s="2"/>
      <c r="J988" s="2"/>
      <c r="K988" s="2"/>
      <c r="L988" s="2"/>
    </row>
    <row r="989">
      <c r="G989" s="2"/>
      <c r="H989" s="2"/>
      <c r="I989" s="2"/>
      <c r="J989" s="2"/>
      <c r="K989" s="2"/>
      <c r="L989" s="2"/>
    </row>
  </sheetData>
  <mergeCells count="24">
    <mergeCell ref="P66:S66"/>
    <mergeCell ref="T66:W66"/>
    <mergeCell ref="B3:C3"/>
    <mergeCell ref="V51:W51"/>
    <mergeCell ref="AA52:AB52"/>
    <mergeCell ref="B64:C64"/>
    <mergeCell ref="B66:C66"/>
    <mergeCell ref="D66:G66"/>
    <mergeCell ref="H66:J66"/>
    <mergeCell ref="M68:O68"/>
    <mergeCell ref="P68:S68"/>
    <mergeCell ref="T68:W68"/>
    <mergeCell ref="B71:C71"/>
    <mergeCell ref="B82:C82"/>
    <mergeCell ref="E84:G84"/>
    <mergeCell ref="B89:C89"/>
    <mergeCell ref="B93:C93"/>
    <mergeCell ref="K66:L66"/>
    <mergeCell ref="M66:O66"/>
    <mergeCell ref="B67:C67"/>
    <mergeCell ref="B68:C68"/>
    <mergeCell ref="D68:G68"/>
    <mergeCell ref="H68:J68"/>
    <mergeCell ref="K68:L6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8.25"/>
    <col customWidth="1" min="3" max="3" width="46.13"/>
    <col customWidth="1" min="4" max="4" width="44.63"/>
    <col customWidth="1" min="5" max="5" width="33.88"/>
    <col customWidth="1" min="6" max="6" width="38.0"/>
    <col customWidth="1" min="7" max="7" width="24.63"/>
    <col customWidth="1" min="8" max="8" width="27.0"/>
    <col customWidth="1" min="9" max="9" width="31.5"/>
    <col customWidth="1" min="10" max="10" width="25.13"/>
  </cols>
  <sheetData>
    <row r="1">
      <c r="B1" s="2"/>
      <c r="C1" s="2"/>
      <c r="D1" s="2"/>
      <c r="E1" s="2"/>
      <c r="F1" s="2"/>
      <c r="G1" s="2"/>
      <c r="H1" s="2"/>
      <c r="I1" s="2"/>
      <c r="J1" s="2"/>
    </row>
    <row r="2">
      <c r="B2" s="43" t="s">
        <v>198</v>
      </c>
      <c r="C2" s="2"/>
      <c r="D2" s="2"/>
      <c r="E2" s="2"/>
      <c r="F2" s="2"/>
      <c r="G2" s="2"/>
      <c r="H2" s="2"/>
      <c r="I2" s="2"/>
      <c r="J2" s="2"/>
    </row>
    <row r="3">
      <c r="B3" s="2"/>
      <c r="C3" s="2"/>
      <c r="D3" s="2"/>
      <c r="E3" s="2"/>
      <c r="F3" s="2"/>
      <c r="G3" s="2"/>
      <c r="H3" s="2"/>
      <c r="I3" s="2"/>
      <c r="J3" s="2"/>
    </row>
    <row r="4">
      <c r="B4" s="43"/>
      <c r="C4" s="2"/>
      <c r="D4" s="2"/>
      <c r="E4" s="2"/>
      <c r="F4" s="2"/>
      <c r="G4" s="2"/>
      <c r="H4" s="2"/>
      <c r="I4" s="2"/>
      <c r="J4" s="2"/>
    </row>
    <row r="5" ht="22.5" customHeight="1">
      <c r="B5" s="44" t="s">
        <v>199</v>
      </c>
      <c r="C5" s="44" t="s">
        <v>73</v>
      </c>
      <c r="D5" s="44" t="s">
        <v>200</v>
      </c>
      <c r="E5" s="44" t="s">
        <v>201</v>
      </c>
      <c r="F5" s="2"/>
      <c r="G5" s="2"/>
      <c r="H5" s="2"/>
      <c r="I5" s="2"/>
      <c r="J5" s="2"/>
    </row>
    <row r="6" ht="22.5" customHeight="1">
      <c r="B6" s="45" t="s">
        <v>202</v>
      </c>
      <c r="C6" s="46" t="s">
        <v>203</v>
      </c>
      <c r="D6" s="46" t="s">
        <v>204</v>
      </c>
      <c r="E6" s="46" t="s">
        <v>205</v>
      </c>
      <c r="F6" s="2"/>
      <c r="G6" s="2"/>
      <c r="H6" s="2"/>
      <c r="I6" s="2"/>
      <c r="J6" s="2"/>
    </row>
    <row r="7" ht="22.5" customHeight="1">
      <c r="B7" s="46" t="s">
        <v>202</v>
      </c>
      <c r="C7" s="46" t="s">
        <v>206</v>
      </c>
      <c r="D7" s="46" t="s">
        <v>207</v>
      </c>
      <c r="E7" s="46" t="s">
        <v>208</v>
      </c>
      <c r="F7" s="2"/>
      <c r="G7" s="2"/>
      <c r="H7" s="2"/>
      <c r="I7" s="2"/>
      <c r="J7" s="2"/>
    </row>
    <row r="8" ht="22.5" customHeight="1">
      <c r="B8" s="46" t="s">
        <v>202</v>
      </c>
      <c r="C8" s="46" t="s">
        <v>209</v>
      </c>
      <c r="D8" s="46" t="s">
        <v>210</v>
      </c>
      <c r="E8" s="46" t="s">
        <v>211</v>
      </c>
      <c r="F8" s="2"/>
      <c r="G8" s="2"/>
      <c r="H8" s="2"/>
      <c r="I8" s="2"/>
      <c r="J8" s="2"/>
    </row>
    <row r="9" ht="22.5" customHeight="1">
      <c r="B9" s="46" t="s">
        <v>202</v>
      </c>
      <c r="C9" s="46" t="s">
        <v>212</v>
      </c>
      <c r="D9" s="46" t="s">
        <v>213</v>
      </c>
      <c r="E9" s="46" t="s">
        <v>214</v>
      </c>
      <c r="F9" s="2"/>
      <c r="G9" s="2"/>
      <c r="H9" s="2"/>
      <c r="I9" s="2"/>
      <c r="J9" s="2"/>
    </row>
    <row r="10" ht="22.5" customHeight="1">
      <c r="B10" s="45" t="s">
        <v>215</v>
      </c>
      <c r="C10" s="46" t="s">
        <v>216</v>
      </c>
      <c r="D10" s="46" t="s">
        <v>217</v>
      </c>
      <c r="E10" s="46" t="s">
        <v>218</v>
      </c>
      <c r="F10" s="2"/>
      <c r="G10" s="2"/>
      <c r="H10" s="2"/>
      <c r="I10" s="2"/>
      <c r="J10" s="2"/>
    </row>
    <row r="11" ht="22.5" customHeight="1">
      <c r="B11" s="46" t="s">
        <v>215</v>
      </c>
      <c r="C11" s="46" t="s">
        <v>219</v>
      </c>
      <c r="D11" s="46" t="s">
        <v>220</v>
      </c>
      <c r="E11" s="46" t="s">
        <v>221</v>
      </c>
      <c r="F11" s="2"/>
      <c r="G11" s="2"/>
      <c r="H11" s="2"/>
      <c r="I11" s="2"/>
      <c r="J11" s="2"/>
    </row>
    <row r="12" ht="22.5" customHeight="1">
      <c r="B12" s="46" t="s">
        <v>215</v>
      </c>
      <c r="C12" s="46" t="s">
        <v>222</v>
      </c>
      <c r="D12" s="46" t="s">
        <v>223</v>
      </c>
      <c r="E12" s="46" t="s">
        <v>224</v>
      </c>
      <c r="F12" s="2"/>
      <c r="G12" s="2"/>
      <c r="H12" s="2"/>
      <c r="I12" s="2"/>
      <c r="J12" s="2"/>
    </row>
    <row r="13" ht="22.5" customHeight="1">
      <c r="B13" s="45" t="s">
        <v>225</v>
      </c>
      <c r="C13" s="46" t="s">
        <v>226</v>
      </c>
      <c r="D13" s="46" t="s">
        <v>227</v>
      </c>
      <c r="E13" s="46" t="s">
        <v>228</v>
      </c>
      <c r="F13" s="2"/>
      <c r="G13" s="2"/>
      <c r="H13" s="2"/>
      <c r="I13" s="2"/>
      <c r="J13" s="2"/>
    </row>
    <row r="14" ht="22.5" customHeight="1">
      <c r="B14" s="46" t="s">
        <v>225</v>
      </c>
      <c r="C14" s="46" t="s">
        <v>229</v>
      </c>
      <c r="D14" s="46" t="s">
        <v>230</v>
      </c>
      <c r="E14" s="46" t="s">
        <v>231</v>
      </c>
      <c r="F14" s="2"/>
      <c r="G14" s="2"/>
      <c r="H14" s="2"/>
      <c r="I14" s="2"/>
      <c r="J14" s="2"/>
    </row>
    <row r="15" ht="22.5" customHeight="1">
      <c r="B15" s="45" t="s">
        <v>232</v>
      </c>
      <c r="C15" s="46" t="s">
        <v>233</v>
      </c>
      <c r="D15" s="46" t="s">
        <v>234</v>
      </c>
      <c r="E15" s="46" t="s">
        <v>235</v>
      </c>
      <c r="F15" s="2"/>
      <c r="G15" s="2"/>
      <c r="H15" s="2"/>
      <c r="I15" s="2"/>
      <c r="J15" s="2"/>
    </row>
    <row r="16" ht="22.5" customHeight="1">
      <c r="B16" s="46" t="s">
        <v>232</v>
      </c>
      <c r="C16" s="46" t="s">
        <v>236</v>
      </c>
      <c r="D16" s="46" t="s">
        <v>237</v>
      </c>
      <c r="E16" s="46" t="s">
        <v>238</v>
      </c>
      <c r="F16" s="2"/>
      <c r="G16" s="2"/>
      <c r="H16" s="2"/>
      <c r="I16" s="2"/>
      <c r="J16" s="2"/>
    </row>
    <row r="17" ht="22.5" customHeight="1">
      <c r="B17" s="46" t="s">
        <v>232</v>
      </c>
      <c r="C17" s="46" t="s">
        <v>239</v>
      </c>
      <c r="D17" s="46" t="s">
        <v>240</v>
      </c>
      <c r="E17" s="46" t="s">
        <v>241</v>
      </c>
      <c r="F17" s="2"/>
      <c r="G17" s="2"/>
      <c r="H17" s="2"/>
      <c r="I17" s="2"/>
      <c r="J17" s="2"/>
    </row>
    <row r="18" ht="22.5" customHeight="1">
      <c r="B18" s="46" t="s">
        <v>232</v>
      </c>
      <c r="C18" s="46" t="s">
        <v>242</v>
      </c>
      <c r="D18" s="46" t="s">
        <v>243</v>
      </c>
      <c r="E18" s="46" t="s">
        <v>244</v>
      </c>
      <c r="F18" s="2"/>
      <c r="G18" s="2"/>
      <c r="H18" s="2"/>
      <c r="I18" s="2"/>
      <c r="J18" s="2"/>
    </row>
    <row r="19" ht="22.5" customHeight="1">
      <c r="B19" s="45" t="s">
        <v>245</v>
      </c>
      <c r="C19" s="46" t="s">
        <v>246</v>
      </c>
      <c r="D19" s="46" t="s">
        <v>247</v>
      </c>
      <c r="E19" s="46" t="s">
        <v>248</v>
      </c>
      <c r="F19" s="2"/>
      <c r="G19" s="2"/>
      <c r="H19" s="2"/>
      <c r="I19" s="2"/>
      <c r="J19" s="2"/>
    </row>
    <row r="20" ht="22.5" customHeight="1">
      <c r="B20" s="46" t="s">
        <v>245</v>
      </c>
      <c r="C20" s="46" t="s">
        <v>249</v>
      </c>
      <c r="D20" s="46" t="s">
        <v>250</v>
      </c>
      <c r="E20" s="46" t="s">
        <v>251</v>
      </c>
      <c r="F20" s="2"/>
      <c r="G20" s="2"/>
      <c r="H20" s="2"/>
      <c r="I20" s="2"/>
      <c r="J20" s="2"/>
    </row>
    <row r="21" ht="22.5" customHeight="1">
      <c r="B21" s="46" t="s">
        <v>245</v>
      </c>
      <c r="C21" s="46" t="s">
        <v>252</v>
      </c>
      <c r="D21" s="46" t="s">
        <v>253</v>
      </c>
      <c r="E21" s="46" t="s">
        <v>254</v>
      </c>
      <c r="F21" s="2"/>
      <c r="G21" s="2"/>
      <c r="H21" s="2"/>
      <c r="I21" s="2"/>
      <c r="J21" s="2"/>
    </row>
    <row r="22" ht="22.5" customHeight="1">
      <c r="B22" s="45" t="s">
        <v>255</v>
      </c>
      <c r="C22" s="46" t="s">
        <v>256</v>
      </c>
      <c r="D22" s="46" t="s">
        <v>257</v>
      </c>
      <c r="E22" s="46" t="s">
        <v>258</v>
      </c>
      <c r="F22" s="2"/>
      <c r="G22" s="2"/>
      <c r="H22" s="2"/>
      <c r="I22" s="2"/>
      <c r="J22" s="2"/>
    </row>
    <row r="23" ht="22.5" customHeight="1">
      <c r="B23" s="46" t="s">
        <v>255</v>
      </c>
      <c r="C23" s="46" t="s">
        <v>259</v>
      </c>
      <c r="D23" s="46" t="s">
        <v>260</v>
      </c>
      <c r="E23" s="46" t="s">
        <v>261</v>
      </c>
      <c r="F23" s="2"/>
      <c r="G23" s="2"/>
      <c r="H23" s="2"/>
      <c r="I23" s="2"/>
      <c r="J23" s="2"/>
    </row>
    <row r="24" ht="22.5" customHeight="1">
      <c r="B24" s="46" t="s">
        <v>255</v>
      </c>
      <c r="C24" s="46" t="s">
        <v>262</v>
      </c>
      <c r="D24" s="46" t="s">
        <v>263</v>
      </c>
      <c r="E24" s="46" t="s">
        <v>264</v>
      </c>
      <c r="F24" s="2"/>
      <c r="G24" s="2"/>
      <c r="H24" s="2"/>
      <c r="I24" s="2"/>
      <c r="J24" s="2"/>
    </row>
    <row r="25" ht="22.5" customHeight="1">
      <c r="B25" s="45" t="s">
        <v>265</v>
      </c>
      <c r="C25" s="46" t="s">
        <v>266</v>
      </c>
      <c r="D25" s="46" t="s">
        <v>267</v>
      </c>
      <c r="E25" s="46" t="s">
        <v>268</v>
      </c>
      <c r="F25" s="2"/>
      <c r="G25" s="2"/>
      <c r="H25" s="2"/>
      <c r="I25" s="2"/>
      <c r="J25" s="2"/>
    </row>
    <row r="26" ht="22.5" customHeight="1">
      <c r="B26" s="45" t="s">
        <v>269</v>
      </c>
      <c r="C26" s="46" t="s">
        <v>270</v>
      </c>
      <c r="D26" s="46" t="s">
        <v>271</v>
      </c>
      <c r="E26" s="46" t="s">
        <v>272</v>
      </c>
      <c r="F26" s="2"/>
      <c r="G26" s="2"/>
      <c r="H26" s="2"/>
      <c r="I26" s="2"/>
      <c r="J26" s="2"/>
    </row>
    <row r="27" ht="22.5" customHeight="1">
      <c r="B27" s="46" t="s">
        <v>269</v>
      </c>
      <c r="C27" s="46" t="s">
        <v>273</v>
      </c>
      <c r="D27" s="46" t="s">
        <v>274</v>
      </c>
      <c r="E27" s="46" t="s">
        <v>275</v>
      </c>
      <c r="F27" s="2"/>
      <c r="G27" s="2"/>
      <c r="H27" s="2"/>
      <c r="I27" s="2"/>
      <c r="J27" s="2"/>
    </row>
    <row r="28" ht="22.5" customHeight="1">
      <c r="B28" s="45" t="s">
        <v>276</v>
      </c>
      <c r="C28" s="46" t="s">
        <v>277</v>
      </c>
      <c r="D28" s="46" t="s">
        <v>278</v>
      </c>
      <c r="E28" s="46" t="s">
        <v>279</v>
      </c>
      <c r="F28" s="2"/>
      <c r="G28" s="2"/>
      <c r="H28" s="2"/>
      <c r="I28" s="2"/>
      <c r="J28" s="2"/>
    </row>
    <row r="29" ht="22.5" customHeight="1">
      <c r="B29" s="46" t="s">
        <v>276</v>
      </c>
      <c r="C29" s="46" t="s">
        <v>280</v>
      </c>
      <c r="D29" s="46" t="s">
        <v>281</v>
      </c>
      <c r="E29" s="46" t="s">
        <v>282</v>
      </c>
      <c r="F29" s="2"/>
      <c r="G29" s="2"/>
      <c r="H29" s="2"/>
      <c r="I29" s="2"/>
      <c r="J29" s="2"/>
    </row>
    <row r="30">
      <c r="B30" s="43"/>
      <c r="C30" s="2"/>
      <c r="D30" s="2"/>
      <c r="E30" s="2"/>
      <c r="F30" s="2"/>
      <c r="G30" s="2"/>
      <c r="H30" s="2"/>
      <c r="I30" s="2"/>
      <c r="J30" s="2"/>
    </row>
    <row r="31">
      <c r="B31" s="43"/>
      <c r="C31" s="2"/>
      <c r="D31" s="2"/>
      <c r="E31" s="2"/>
      <c r="F31" s="2"/>
      <c r="G31" s="2"/>
      <c r="H31" s="2"/>
      <c r="I31" s="2"/>
      <c r="J31" s="2"/>
    </row>
    <row r="32">
      <c r="B32" s="43" t="s">
        <v>283</v>
      </c>
      <c r="C32" s="2"/>
      <c r="D32" s="2"/>
      <c r="E32" s="2"/>
      <c r="F32" s="2"/>
      <c r="G32" s="2"/>
      <c r="H32" s="2"/>
      <c r="I32" s="2"/>
      <c r="J32" s="2"/>
    </row>
    <row r="33">
      <c r="B33" s="47"/>
      <c r="C33" s="2"/>
      <c r="D33" s="2"/>
      <c r="E33" s="2"/>
      <c r="F33" s="2"/>
      <c r="G33" s="2"/>
      <c r="H33" s="2"/>
      <c r="I33" s="2"/>
      <c r="J33" s="2"/>
    </row>
    <row r="34">
      <c r="B34" s="2"/>
      <c r="C34" s="2"/>
      <c r="D34" s="2"/>
      <c r="E34" s="2"/>
      <c r="F34" s="2"/>
      <c r="G34" s="2"/>
      <c r="H34" s="2"/>
      <c r="I34" s="2"/>
      <c r="J34" s="2"/>
    </row>
    <row r="35" ht="22.5" customHeight="1">
      <c r="B35" s="48" t="s">
        <v>284</v>
      </c>
      <c r="C35" s="49" t="s">
        <v>285</v>
      </c>
      <c r="D35" s="49" t="s">
        <v>286</v>
      </c>
      <c r="E35" s="49" t="s">
        <v>287</v>
      </c>
      <c r="F35" s="49" t="s">
        <v>288</v>
      </c>
      <c r="G35" s="50" t="s">
        <v>289</v>
      </c>
      <c r="H35" s="50" t="s">
        <v>290</v>
      </c>
      <c r="I35" s="51" t="s">
        <v>291</v>
      </c>
      <c r="J35" s="51" t="s">
        <v>292</v>
      </c>
    </row>
    <row r="36" ht="22.5" customHeight="1">
      <c r="B36" s="52"/>
      <c r="C36" s="53"/>
      <c r="D36" s="53"/>
      <c r="E36" s="53"/>
      <c r="F36" s="53"/>
      <c r="G36" s="54"/>
      <c r="H36" s="54"/>
      <c r="I36" s="54"/>
      <c r="J36" s="54"/>
    </row>
    <row r="37" ht="22.5" customHeight="1">
      <c r="B37" s="55" t="s">
        <v>293</v>
      </c>
      <c r="C37" s="55" t="s">
        <v>294</v>
      </c>
      <c r="D37" s="55" t="s">
        <v>295</v>
      </c>
      <c r="E37" s="56" t="s">
        <v>79</v>
      </c>
      <c r="F37" s="55" t="s">
        <v>296</v>
      </c>
      <c r="G37" s="57" t="s">
        <v>297</v>
      </c>
      <c r="H37" s="57" t="s">
        <v>298</v>
      </c>
      <c r="I37" s="57" t="s">
        <v>299</v>
      </c>
      <c r="J37" s="57" t="s">
        <v>300</v>
      </c>
    </row>
    <row r="38" ht="22.5" customHeight="1">
      <c r="B38" s="58" t="s">
        <v>301</v>
      </c>
      <c r="C38" s="52" t="s">
        <v>302</v>
      </c>
      <c r="D38" s="59" t="s">
        <v>303</v>
      </c>
      <c r="E38" s="60" t="s">
        <v>304</v>
      </c>
      <c r="F38" s="61" t="s">
        <v>305</v>
      </c>
      <c r="G38" s="62" t="s">
        <v>306</v>
      </c>
      <c r="H38" s="51" t="s">
        <v>307</v>
      </c>
      <c r="I38" s="51" t="s">
        <v>308</v>
      </c>
      <c r="J38" s="51" t="s">
        <v>309</v>
      </c>
    </row>
    <row r="39" ht="22.5" customHeight="1">
      <c r="B39" s="63" t="s">
        <v>310</v>
      </c>
      <c r="C39" s="52" t="s">
        <v>311</v>
      </c>
      <c r="D39" s="59" t="s">
        <v>312</v>
      </c>
      <c r="E39" s="60" t="s">
        <v>313</v>
      </c>
      <c r="F39" s="64" t="s">
        <v>314</v>
      </c>
      <c r="G39" s="60" t="s">
        <v>315</v>
      </c>
      <c r="H39" s="65" t="s">
        <v>316</v>
      </c>
      <c r="I39" s="66" t="s">
        <v>317</v>
      </c>
      <c r="J39" s="65" t="s">
        <v>318</v>
      </c>
    </row>
    <row r="40" ht="22.5" customHeight="1">
      <c r="B40" s="63" t="s">
        <v>319</v>
      </c>
      <c r="C40" s="52" t="s">
        <v>320</v>
      </c>
      <c r="D40" s="60" t="s">
        <v>321</v>
      </c>
      <c r="E40" s="60" t="s">
        <v>322</v>
      </c>
      <c r="F40" s="64" t="s">
        <v>323</v>
      </c>
      <c r="G40" s="60" t="s">
        <v>324</v>
      </c>
      <c r="H40" s="65" t="s">
        <v>325</v>
      </c>
      <c r="I40" s="65" t="s">
        <v>326</v>
      </c>
      <c r="J40" s="65" t="s">
        <v>327</v>
      </c>
    </row>
    <row r="41" ht="22.5" customHeight="1">
      <c r="B41" s="63" t="s">
        <v>328</v>
      </c>
      <c r="C41" s="52" t="s">
        <v>329</v>
      </c>
      <c r="D41" s="60" t="s">
        <v>330</v>
      </c>
      <c r="E41" s="59" t="s">
        <v>331</v>
      </c>
      <c r="F41" s="64" t="s">
        <v>332</v>
      </c>
      <c r="G41" s="67"/>
      <c r="H41" s="65" t="s">
        <v>333</v>
      </c>
      <c r="I41" s="65" t="s">
        <v>334</v>
      </c>
      <c r="J41" s="65" t="s">
        <v>335</v>
      </c>
      <c r="L41" s="42"/>
    </row>
    <row r="42" ht="22.5" customHeight="1">
      <c r="B42" s="63" t="s">
        <v>336</v>
      </c>
      <c r="C42" s="52" t="s">
        <v>337</v>
      </c>
      <c r="D42" s="60" t="s">
        <v>338</v>
      </c>
      <c r="E42" s="60" t="s">
        <v>339</v>
      </c>
      <c r="F42" s="64" t="s">
        <v>340</v>
      </c>
      <c r="G42" s="60" t="s">
        <v>341</v>
      </c>
      <c r="H42" s="65" t="s">
        <v>342</v>
      </c>
      <c r="I42" s="65" t="s">
        <v>343</v>
      </c>
      <c r="J42" s="65" t="s">
        <v>344</v>
      </c>
    </row>
    <row r="43" ht="22.5" customHeight="1">
      <c r="B43" s="63" t="s">
        <v>345</v>
      </c>
      <c r="C43" s="64" t="s">
        <v>346</v>
      </c>
      <c r="D43" s="59" t="s">
        <v>347</v>
      </c>
      <c r="E43" s="60" t="s">
        <v>348</v>
      </c>
      <c r="F43" s="64" t="s">
        <v>349</v>
      </c>
      <c r="G43" s="60"/>
      <c r="H43" s="65" t="s">
        <v>350</v>
      </c>
      <c r="I43" s="65" t="s">
        <v>351</v>
      </c>
      <c r="J43" s="65" t="s">
        <v>352</v>
      </c>
    </row>
    <row r="44" ht="22.5" customHeight="1">
      <c r="B44" s="63" t="s">
        <v>353</v>
      </c>
      <c r="C44" s="52" t="s">
        <v>354</v>
      </c>
      <c r="D44" s="60" t="s">
        <v>355</v>
      </c>
      <c r="E44" s="60" t="s">
        <v>356</v>
      </c>
      <c r="F44" s="64" t="s">
        <v>357</v>
      </c>
      <c r="G44" s="67"/>
      <c r="H44" s="65" t="s">
        <v>358</v>
      </c>
      <c r="I44" s="65" t="s">
        <v>359</v>
      </c>
      <c r="J44" s="65" t="s">
        <v>360</v>
      </c>
    </row>
    <row r="45" ht="22.5" customHeight="1">
      <c r="B45" s="63" t="s">
        <v>361</v>
      </c>
      <c r="C45" s="52" t="s">
        <v>362</v>
      </c>
      <c r="D45" s="59" t="s">
        <v>363</v>
      </c>
      <c r="E45" s="59" t="s">
        <v>364</v>
      </c>
      <c r="F45" s="64" t="s">
        <v>365</v>
      </c>
      <c r="G45" s="60" t="s">
        <v>366</v>
      </c>
      <c r="H45" s="65" t="s">
        <v>367</v>
      </c>
      <c r="I45" s="65" t="s">
        <v>368</v>
      </c>
      <c r="J45" s="65" t="s">
        <v>369</v>
      </c>
      <c r="M45" s="41" t="s">
        <v>370</v>
      </c>
    </row>
    <row r="46" ht="22.5" customHeight="1">
      <c r="B46" s="63" t="s">
        <v>371</v>
      </c>
      <c r="C46" s="52" t="s">
        <v>372</v>
      </c>
      <c r="D46" s="59" t="s">
        <v>373</v>
      </c>
      <c r="E46" s="60" t="s">
        <v>374</v>
      </c>
      <c r="F46" s="64" t="s">
        <v>375</v>
      </c>
      <c r="G46" s="60" t="s">
        <v>376</v>
      </c>
      <c r="H46" s="65" t="s">
        <v>377</v>
      </c>
      <c r="I46" s="65" t="s">
        <v>378</v>
      </c>
      <c r="J46" s="68"/>
    </row>
    <row r="47" ht="22.5" customHeight="1">
      <c r="B47" s="63" t="s">
        <v>379</v>
      </c>
      <c r="C47" s="52" t="s">
        <v>380</v>
      </c>
      <c r="D47" s="59" t="s">
        <v>381</v>
      </c>
      <c r="E47" s="60" t="s">
        <v>382</v>
      </c>
      <c r="F47" s="52" t="s">
        <v>383</v>
      </c>
      <c r="G47" s="59" t="s">
        <v>384</v>
      </c>
      <c r="H47" s="69" t="s">
        <v>385</v>
      </c>
      <c r="I47" s="69" t="s">
        <v>386</v>
      </c>
      <c r="J47" s="69" t="s">
        <v>387</v>
      </c>
    </row>
    <row r="48" ht="22.5" customHeight="1">
      <c r="B48" s="63" t="s">
        <v>273</v>
      </c>
      <c r="C48" s="64" t="s">
        <v>388</v>
      </c>
      <c r="D48" s="59" t="s">
        <v>389</v>
      </c>
      <c r="E48" s="59" t="s">
        <v>390</v>
      </c>
      <c r="F48" s="52" t="s">
        <v>391</v>
      </c>
      <c r="G48" s="70"/>
      <c r="H48" s="69" t="s">
        <v>392</v>
      </c>
      <c r="I48" s="69" t="s">
        <v>393</v>
      </c>
      <c r="J48" s="69" t="s">
        <v>394</v>
      </c>
    </row>
    <row r="49" ht="22.5" customHeight="1">
      <c r="B49" s="63" t="s">
        <v>249</v>
      </c>
      <c r="C49" s="52" t="s">
        <v>395</v>
      </c>
      <c r="D49" s="59" t="s">
        <v>396</v>
      </c>
      <c r="E49" s="59" t="s">
        <v>397</v>
      </c>
      <c r="F49" s="52" t="s">
        <v>398</v>
      </c>
      <c r="G49" s="70"/>
      <c r="H49" s="69" t="s">
        <v>399</v>
      </c>
      <c r="I49" s="69" t="s">
        <v>400</v>
      </c>
      <c r="J49" s="69" t="s">
        <v>401</v>
      </c>
    </row>
    <row r="50" ht="22.5" customHeight="1">
      <c r="B50" s="63" t="s">
        <v>402</v>
      </c>
      <c r="C50" s="52" t="s">
        <v>403</v>
      </c>
      <c r="D50" s="59" t="s">
        <v>404</v>
      </c>
      <c r="E50" s="59" t="s">
        <v>405</v>
      </c>
      <c r="F50" s="52" t="s">
        <v>406</v>
      </c>
      <c r="G50" s="70"/>
      <c r="H50" s="69" t="s">
        <v>407</v>
      </c>
      <c r="I50" s="69" t="s">
        <v>408</v>
      </c>
      <c r="J50" s="69" t="s">
        <v>409</v>
      </c>
    </row>
    <row r="51" ht="22.5" customHeight="1">
      <c r="B51" s="63" t="s">
        <v>410</v>
      </c>
      <c r="C51" s="52" t="s">
        <v>411</v>
      </c>
      <c r="D51" s="59" t="s">
        <v>412</v>
      </c>
      <c r="E51" s="59" t="s">
        <v>413</v>
      </c>
      <c r="F51" s="64" t="s">
        <v>414</v>
      </c>
      <c r="G51" s="67"/>
      <c r="H51" s="65" t="s">
        <v>415</v>
      </c>
      <c r="I51" s="65" t="s">
        <v>416</v>
      </c>
      <c r="J51" s="65" t="s">
        <v>417</v>
      </c>
    </row>
    <row r="52" ht="22.5" customHeight="1">
      <c r="B52" s="63" t="s">
        <v>418</v>
      </c>
      <c r="C52" s="52" t="s">
        <v>419</v>
      </c>
      <c r="D52" s="59" t="s">
        <v>420</v>
      </c>
      <c r="E52" s="59" t="s">
        <v>421</v>
      </c>
      <c r="F52" s="52" t="s">
        <v>422</v>
      </c>
      <c r="G52" s="70"/>
      <c r="H52" s="69" t="s">
        <v>423</v>
      </c>
      <c r="I52" s="69" t="s">
        <v>424</v>
      </c>
      <c r="J52" s="69" t="s">
        <v>425</v>
      </c>
    </row>
    <row r="53" ht="22.5" customHeight="1">
      <c r="B53" s="63" t="s">
        <v>277</v>
      </c>
      <c r="C53" s="52" t="s">
        <v>426</v>
      </c>
      <c r="D53" s="59" t="s">
        <v>427</v>
      </c>
      <c r="E53" s="59" t="s">
        <v>428</v>
      </c>
      <c r="F53" s="52" t="s">
        <v>429</v>
      </c>
      <c r="G53" s="70"/>
      <c r="H53" s="69" t="s">
        <v>430</v>
      </c>
      <c r="I53" s="69" t="s">
        <v>431</v>
      </c>
      <c r="J53" s="71"/>
    </row>
    <row r="54" ht="22.5" customHeight="1">
      <c r="B54" s="52" t="s">
        <v>432</v>
      </c>
      <c r="C54" s="52" t="s">
        <v>433</v>
      </c>
      <c r="D54" s="59" t="s">
        <v>434</v>
      </c>
      <c r="E54" s="59" t="s">
        <v>435</v>
      </c>
      <c r="F54" s="52" t="s">
        <v>436</v>
      </c>
      <c r="G54" s="59" t="s">
        <v>437</v>
      </c>
      <c r="H54" s="69" t="s">
        <v>438</v>
      </c>
      <c r="I54" s="69" t="s">
        <v>439</v>
      </c>
      <c r="J54" s="69" t="s">
        <v>440</v>
      </c>
    </row>
    <row r="55" ht="22.5" customHeight="1">
      <c r="B55" s="52" t="s">
        <v>441</v>
      </c>
      <c r="C55" s="52" t="s">
        <v>442</v>
      </c>
      <c r="D55" s="59" t="s">
        <v>443</v>
      </c>
      <c r="E55" s="59" t="s">
        <v>444</v>
      </c>
      <c r="F55" s="52" t="s">
        <v>445</v>
      </c>
      <c r="G55" s="70"/>
      <c r="H55" s="69" t="s">
        <v>446</v>
      </c>
      <c r="I55" s="69" t="s">
        <v>447</v>
      </c>
      <c r="J55" s="69" t="s">
        <v>448</v>
      </c>
    </row>
    <row r="56" ht="22.5" customHeight="1">
      <c r="B56" s="52" t="s">
        <v>449</v>
      </c>
      <c r="C56" s="52" t="s">
        <v>450</v>
      </c>
      <c r="D56" s="60" t="s">
        <v>434</v>
      </c>
      <c r="E56" s="60" t="s">
        <v>435</v>
      </c>
      <c r="F56" s="52" t="s">
        <v>451</v>
      </c>
      <c r="G56" s="59" t="s">
        <v>452</v>
      </c>
      <c r="H56" s="69" t="s">
        <v>453</v>
      </c>
      <c r="I56" s="71"/>
      <c r="J56" s="71"/>
    </row>
    <row r="57">
      <c r="B57" s="2"/>
      <c r="C57" s="2"/>
      <c r="D57" s="2"/>
      <c r="E57" s="2"/>
      <c r="F57" s="2"/>
      <c r="G57" s="2"/>
      <c r="H57" s="2"/>
      <c r="I57" s="2"/>
      <c r="J57" s="2"/>
    </row>
    <row r="58">
      <c r="B58" s="2"/>
      <c r="C58" s="2"/>
      <c r="D58" s="2"/>
      <c r="E58" s="2"/>
      <c r="F58" s="2"/>
      <c r="G58" s="2"/>
      <c r="H58" s="2"/>
      <c r="I58" s="2"/>
      <c r="J58" s="2"/>
    </row>
    <row r="59">
      <c r="B59" s="2"/>
      <c r="C59" s="2"/>
      <c r="D59" s="2"/>
      <c r="E59" s="2"/>
      <c r="F59" s="2"/>
      <c r="G59" s="2"/>
      <c r="H59" s="2"/>
      <c r="I59" s="2"/>
      <c r="J59" s="2"/>
    </row>
    <row r="60">
      <c r="B60" s="2"/>
      <c r="C60" s="2"/>
      <c r="D60" s="2"/>
      <c r="E60" s="2"/>
      <c r="F60" s="2"/>
      <c r="G60" s="2"/>
      <c r="H60" s="2"/>
      <c r="I60" s="2"/>
      <c r="J60" s="2"/>
    </row>
    <row r="61">
      <c r="B61" s="43" t="s">
        <v>454</v>
      </c>
      <c r="C61" s="2"/>
      <c r="D61" s="2"/>
      <c r="E61" s="2"/>
      <c r="F61" s="2"/>
      <c r="G61" s="2"/>
      <c r="H61" s="2"/>
      <c r="I61" s="2"/>
      <c r="J61" s="2"/>
    </row>
    <row r="62">
      <c r="B62" s="47"/>
      <c r="C62" s="2"/>
      <c r="D62" s="2"/>
      <c r="E62" s="2"/>
      <c r="F62" s="2"/>
      <c r="G62" s="2"/>
      <c r="H62" s="2"/>
      <c r="I62" s="2"/>
      <c r="J62" s="2"/>
    </row>
    <row r="63">
      <c r="B63" s="2"/>
      <c r="C63" s="2"/>
      <c r="D63" s="2"/>
      <c r="E63" s="2"/>
      <c r="F63" s="2"/>
      <c r="G63" s="2"/>
      <c r="H63" s="2"/>
      <c r="I63" s="2"/>
      <c r="J63" s="2"/>
    </row>
    <row r="64" ht="22.5" customHeight="1">
      <c r="B64" s="72" t="s">
        <v>455</v>
      </c>
      <c r="C64" s="49" t="s">
        <v>285</v>
      </c>
      <c r="D64" s="49" t="s">
        <v>286</v>
      </c>
      <c r="E64" s="49" t="s">
        <v>287</v>
      </c>
      <c r="F64" s="49" t="s">
        <v>288</v>
      </c>
      <c r="G64" s="2"/>
      <c r="H64" s="2"/>
      <c r="I64" s="2"/>
      <c r="J64" s="2"/>
    </row>
    <row r="65" ht="22.5" customHeight="1">
      <c r="B65" s="53"/>
      <c r="C65" s="53"/>
      <c r="D65" s="53"/>
      <c r="E65" s="53"/>
      <c r="F65" s="53"/>
      <c r="G65" s="2"/>
      <c r="H65" s="2"/>
      <c r="I65" s="2"/>
      <c r="J65" s="2"/>
    </row>
    <row r="66" ht="22.5" customHeight="1">
      <c r="B66" s="53"/>
      <c r="C66" s="52" t="s">
        <v>456</v>
      </c>
      <c r="D66" s="52" t="s">
        <v>457</v>
      </c>
      <c r="E66" s="52" t="s">
        <v>458</v>
      </c>
      <c r="F66" s="52" t="s">
        <v>459</v>
      </c>
      <c r="G66" s="2"/>
      <c r="H66" s="2"/>
      <c r="I66" s="2"/>
      <c r="J66" s="2"/>
    </row>
    <row r="67" ht="22.5" customHeight="1">
      <c r="B67" s="58" t="s">
        <v>460</v>
      </c>
      <c r="C67" s="58" t="s">
        <v>202</v>
      </c>
      <c r="D67" s="63" t="s">
        <v>461</v>
      </c>
      <c r="E67" s="63" t="s">
        <v>462</v>
      </c>
      <c r="F67" s="58" t="s">
        <v>463</v>
      </c>
      <c r="G67" s="2"/>
      <c r="H67" s="2"/>
      <c r="I67" s="2"/>
      <c r="J67" s="2"/>
    </row>
    <row r="68" ht="22.5" customHeight="1">
      <c r="B68" s="58" t="s">
        <v>464</v>
      </c>
      <c r="C68" s="64" t="s">
        <v>465</v>
      </c>
      <c r="D68" s="64" t="s">
        <v>466</v>
      </c>
      <c r="E68" s="52" t="s">
        <v>467</v>
      </c>
      <c r="F68" s="52" t="s">
        <v>468</v>
      </c>
      <c r="G68" s="2"/>
      <c r="H68" s="2"/>
      <c r="I68" s="2"/>
      <c r="J68" s="2"/>
    </row>
    <row r="69" ht="22.5" customHeight="1">
      <c r="B69" s="58" t="s">
        <v>469</v>
      </c>
      <c r="C69" s="64" t="s">
        <v>470</v>
      </c>
      <c r="D69" s="64" t="s">
        <v>471</v>
      </c>
      <c r="E69" s="52" t="s">
        <v>472</v>
      </c>
      <c r="F69" s="52" t="s">
        <v>473</v>
      </c>
      <c r="G69" s="2"/>
      <c r="H69" s="2"/>
      <c r="I69" s="2"/>
      <c r="J69" s="2"/>
    </row>
    <row r="70" ht="22.5" customHeight="1">
      <c r="B70" s="58" t="s">
        <v>474</v>
      </c>
      <c r="C70" s="64" t="s">
        <v>475</v>
      </c>
      <c r="D70" s="64" t="s">
        <v>476</v>
      </c>
      <c r="E70" s="52" t="s">
        <v>477</v>
      </c>
      <c r="F70" s="52" t="s">
        <v>478</v>
      </c>
      <c r="G70" s="2"/>
      <c r="H70" s="2"/>
      <c r="I70" s="2"/>
      <c r="J70" s="2"/>
    </row>
    <row r="71" ht="22.5" customHeight="1">
      <c r="B71" s="58" t="s">
        <v>479</v>
      </c>
      <c r="C71" s="52" t="s">
        <v>480</v>
      </c>
      <c r="D71" s="52" t="s">
        <v>481</v>
      </c>
      <c r="E71" s="52" t="s">
        <v>482</v>
      </c>
      <c r="F71" s="52" t="s">
        <v>483</v>
      </c>
      <c r="G71" s="2"/>
      <c r="H71" s="2"/>
      <c r="I71" s="2"/>
      <c r="J71" s="2"/>
    </row>
    <row r="72" ht="22.5" customHeight="1">
      <c r="B72" s="58" t="s">
        <v>296</v>
      </c>
      <c r="C72" s="52" t="s">
        <v>484</v>
      </c>
      <c r="D72" s="52" t="s">
        <v>485</v>
      </c>
      <c r="E72" s="52" t="s">
        <v>486</v>
      </c>
      <c r="F72" s="52" t="s">
        <v>487</v>
      </c>
      <c r="G72" s="2"/>
      <c r="H72" s="2"/>
      <c r="I72" s="2"/>
      <c r="J72" s="2"/>
    </row>
    <row r="73" ht="22.5" customHeight="1">
      <c r="B73" s="58" t="s">
        <v>488</v>
      </c>
      <c r="C73" s="52" t="s">
        <v>489</v>
      </c>
      <c r="D73" s="52" t="s">
        <v>490</v>
      </c>
      <c r="E73" s="52" t="s">
        <v>491</v>
      </c>
      <c r="F73" s="52" t="s">
        <v>492</v>
      </c>
      <c r="G73" s="2"/>
      <c r="H73" s="2"/>
      <c r="I73" s="2"/>
      <c r="J73" s="2"/>
    </row>
    <row r="74" ht="22.5" customHeight="1">
      <c r="B74" s="58" t="s">
        <v>493</v>
      </c>
      <c r="C74" s="73" t="s">
        <v>461</v>
      </c>
      <c r="D74" s="64" t="s">
        <v>494</v>
      </c>
      <c r="E74" s="52" t="s">
        <v>495</v>
      </c>
      <c r="F74" s="52" t="s">
        <v>496</v>
      </c>
      <c r="G74" s="2"/>
      <c r="H74" s="2"/>
      <c r="I74" s="2"/>
      <c r="J74" s="2"/>
    </row>
    <row r="75" ht="22.5" customHeight="1">
      <c r="B75" s="58" t="s">
        <v>497</v>
      </c>
      <c r="C75" s="52" t="s">
        <v>498</v>
      </c>
      <c r="D75" s="52" t="s">
        <v>499</v>
      </c>
      <c r="E75" s="52" t="s">
        <v>500</v>
      </c>
      <c r="F75" s="52" t="s">
        <v>501</v>
      </c>
      <c r="G75" s="2"/>
      <c r="H75" s="2"/>
      <c r="I75" s="2"/>
      <c r="J75" s="2"/>
    </row>
    <row r="76" ht="22.5" customHeight="1">
      <c r="B76" s="74" t="s">
        <v>502</v>
      </c>
      <c r="C76" s="69"/>
      <c r="D76" s="69"/>
      <c r="E76" s="69"/>
      <c r="F76" s="69"/>
      <c r="G76" s="2"/>
      <c r="H76" s="2"/>
      <c r="I76" s="2"/>
      <c r="J76" s="2"/>
    </row>
    <row r="77" ht="22.5" customHeight="1">
      <c r="B77" s="74" t="s">
        <v>503</v>
      </c>
      <c r="C77" s="69"/>
      <c r="D77" s="69"/>
      <c r="E77" s="69"/>
      <c r="F77" s="69"/>
      <c r="G77" s="2"/>
      <c r="H77" s="2"/>
      <c r="I77" s="2"/>
      <c r="J77" s="2"/>
    </row>
    <row r="78">
      <c r="B78" s="2"/>
      <c r="C78" s="2"/>
      <c r="D78" s="2"/>
      <c r="E78" s="2"/>
      <c r="F78" s="2"/>
      <c r="G78" s="2"/>
      <c r="H78" s="2"/>
      <c r="I78" s="2"/>
      <c r="J78" s="2"/>
    </row>
    <row r="79">
      <c r="B79" s="2"/>
      <c r="C79" s="2"/>
      <c r="D79" s="2"/>
      <c r="E79" s="2"/>
      <c r="F79" s="2"/>
      <c r="G79" s="2"/>
      <c r="H79" s="2"/>
      <c r="I79" s="2"/>
      <c r="J79" s="2"/>
    </row>
    <row r="80">
      <c r="B80" s="2"/>
      <c r="C80" s="2"/>
      <c r="D80" s="2"/>
      <c r="E80" s="2"/>
      <c r="F80" s="2"/>
      <c r="G80" s="2"/>
      <c r="H80" s="2"/>
      <c r="I80" s="2"/>
      <c r="J80" s="2"/>
    </row>
    <row r="81">
      <c r="B81" s="2"/>
      <c r="C81" s="2"/>
      <c r="D81" s="2"/>
      <c r="E81" s="2"/>
      <c r="F81" s="2"/>
      <c r="G81" s="2"/>
      <c r="H81" s="2"/>
      <c r="I81" s="2"/>
      <c r="J81" s="2"/>
    </row>
    <row r="82">
      <c r="B82" s="75" t="s">
        <v>504</v>
      </c>
      <c r="C82" s="2"/>
      <c r="D82" s="2"/>
      <c r="E82" s="2"/>
      <c r="F82" s="2"/>
      <c r="G82" s="2"/>
      <c r="H82" s="2"/>
      <c r="I82" s="2"/>
      <c r="J82" s="2"/>
    </row>
    <row r="83">
      <c r="B83" s="76"/>
      <c r="C83" s="2"/>
      <c r="D83" s="2"/>
      <c r="E83" s="2"/>
      <c r="F83" s="2"/>
      <c r="G83" s="2"/>
      <c r="H83" s="2"/>
      <c r="I83" s="2"/>
      <c r="J83" s="2"/>
    </row>
    <row r="84">
      <c r="B84" s="2"/>
      <c r="C84" s="2"/>
      <c r="D84" s="2"/>
      <c r="E84" s="2"/>
      <c r="F84" s="2"/>
      <c r="G84" s="2"/>
      <c r="H84" s="2"/>
      <c r="I84" s="2"/>
      <c r="J84" s="2"/>
    </row>
    <row r="85" ht="22.5" customHeight="1">
      <c r="B85" s="77" t="s">
        <v>505</v>
      </c>
      <c r="C85" s="77" t="s">
        <v>506</v>
      </c>
      <c r="D85" s="77" t="s">
        <v>507</v>
      </c>
      <c r="E85" s="77" t="s">
        <v>508</v>
      </c>
      <c r="F85" s="77" t="s">
        <v>509</v>
      </c>
      <c r="G85" s="77" t="s">
        <v>510</v>
      </c>
      <c r="H85" s="77" t="s">
        <v>511</v>
      </c>
      <c r="I85" s="2"/>
      <c r="J85" s="2"/>
    </row>
    <row r="86" ht="22.5" customHeight="1">
      <c r="B86" s="63" t="s">
        <v>512</v>
      </c>
      <c r="C86" s="64" t="s">
        <v>513</v>
      </c>
      <c r="D86" s="64" t="s">
        <v>514</v>
      </c>
      <c r="E86" s="64" t="s">
        <v>515</v>
      </c>
      <c r="F86" s="64" t="s">
        <v>516</v>
      </c>
      <c r="G86" s="64" t="s">
        <v>517</v>
      </c>
      <c r="H86" s="64" t="s">
        <v>518</v>
      </c>
      <c r="I86" s="2"/>
      <c r="J86" s="2"/>
    </row>
    <row r="87" ht="22.5" customHeight="1">
      <c r="B87" s="63" t="s">
        <v>519</v>
      </c>
      <c r="C87" s="64" t="s">
        <v>520</v>
      </c>
      <c r="D87" s="64" t="s">
        <v>521</v>
      </c>
      <c r="E87" s="64" t="s">
        <v>522</v>
      </c>
      <c r="F87" s="64" t="s">
        <v>523</v>
      </c>
      <c r="G87" s="63" t="s">
        <v>524</v>
      </c>
      <c r="H87" s="64" t="s">
        <v>525</v>
      </c>
      <c r="I87" s="2"/>
      <c r="J87" s="2"/>
    </row>
    <row r="88" ht="22.5" customHeight="1">
      <c r="B88" s="63" t="s">
        <v>526</v>
      </c>
      <c r="C88" s="64" t="s">
        <v>527</v>
      </c>
      <c r="D88" s="64" t="s">
        <v>528</v>
      </c>
      <c r="E88" s="64" t="s">
        <v>529</v>
      </c>
      <c r="F88" s="64" t="s">
        <v>530</v>
      </c>
      <c r="G88" s="63" t="s">
        <v>531</v>
      </c>
      <c r="H88" s="64" t="s">
        <v>532</v>
      </c>
      <c r="I88" s="2"/>
      <c r="J88" s="2"/>
    </row>
    <row r="89" ht="22.5" customHeight="1">
      <c r="B89" s="63" t="s">
        <v>533</v>
      </c>
      <c r="C89" s="64" t="s">
        <v>534</v>
      </c>
      <c r="D89" s="64" t="s">
        <v>535</v>
      </c>
      <c r="E89" s="64" t="s">
        <v>536</v>
      </c>
      <c r="F89" s="64" t="s">
        <v>537</v>
      </c>
      <c r="G89" s="63" t="s">
        <v>538</v>
      </c>
      <c r="H89" s="64" t="s">
        <v>539</v>
      </c>
      <c r="I89" s="2"/>
      <c r="J89" s="2"/>
    </row>
    <row r="90" ht="22.5" customHeight="1">
      <c r="B90" s="63" t="s">
        <v>540</v>
      </c>
      <c r="C90" s="64" t="s">
        <v>534</v>
      </c>
      <c r="D90" s="64" t="s">
        <v>541</v>
      </c>
      <c r="E90" s="64" t="s">
        <v>542</v>
      </c>
      <c r="F90" s="64" t="s">
        <v>543</v>
      </c>
      <c r="G90" s="63" t="s">
        <v>544</v>
      </c>
      <c r="H90" s="64" t="s">
        <v>545</v>
      </c>
      <c r="I90" s="2"/>
      <c r="J90" s="2"/>
    </row>
    <row r="91" ht="22.5" customHeight="1">
      <c r="B91" s="63" t="s">
        <v>546</v>
      </c>
      <c r="C91" s="64" t="s">
        <v>547</v>
      </c>
      <c r="D91" s="64" t="s">
        <v>548</v>
      </c>
      <c r="E91" s="64" t="s">
        <v>549</v>
      </c>
      <c r="F91" s="64" t="s">
        <v>550</v>
      </c>
      <c r="G91" s="63" t="s">
        <v>551</v>
      </c>
      <c r="H91" s="64" t="s">
        <v>552</v>
      </c>
      <c r="I91" s="2"/>
      <c r="J91" s="2"/>
    </row>
    <row r="92" ht="22.5" customHeight="1">
      <c r="B92" s="63" t="s">
        <v>553</v>
      </c>
      <c r="C92" s="64" t="s">
        <v>554</v>
      </c>
      <c r="D92" s="64" t="s">
        <v>555</v>
      </c>
      <c r="E92" s="64" t="s">
        <v>556</v>
      </c>
      <c r="F92" s="64" t="s">
        <v>557</v>
      </c>
      <c r="G92" s="64" t="s">
        <v>517</v>
      </c>
      <c r="H92" s="64" t="s">
        <v>558</v>
      </c>
      <c r="I92" s="2"/>
      <c r="J92" s="2"/>
    </row>
    <row r="93" ht="22.5" customHeight="1">
      <c r="B93" s="63" t="s">
        <v>559</v>
      </c>
      <c r="C93" s="64" t="s">
        <v>560</v>
      </c>
      <c r="D93" s="64" t="s">
        <v>561</v>
      </c>
      <c r="E93" s="64" t="s">
        <v>562</v>
      </c>
      <c r="F93" s="64" t="s">
        <v>517</v>
      </c>
      <c r="G93" s="63" t="s">
        <v>563</v>
      </c>
      <c r="H93" s="64" t="s">
        <v>564</v>
      </c>
      <c r="I93" s="2"/>
      <c r="J93" s="2"/>
    </row>
    <row r="94" ht="22.5" customHeight="1">
      <c r="B94" s="63" t="s">
        <v>565</v>
      </c>
      <c r="C94" s="64" t="s">
        <v>566</v>
      </c>
      <c r="D94" s="64" t="s">
        <v>567</v>
      </c>
      <c r="E94" s="64" t="s">
        <v>568</v>
      </c>
      <c r="F94" s="64" t="s">
        <v>517</v>
      </c>
      <c r="G94" s="63" t="s">
        <v>569</v>
      </c>
      <c r="H94" s="64" t="s">
        <v>570</v>
      </c>
      <c r="I94" s="2"/>
      <c r="J94" s="2"/>
    </row>
    <row r="95" ht="22.5" customHeight="1">
      <c r="B95" s="63" t="s">
        <v>571</v>
      </c>
      <c r="C95" s="64" t="s">
        <v>572</v>
      </c>
      <c r="D95" s="64" t="s">
        <v>573</v>
      </c>
      <c r="E95" s="64" t="s">
        <v>574</v>
      </c>
      <c r="F95" s="64" t="s">
        <v>575</v>
      </c>
      <c r="G95" s="64" t="s">
        <v>576</v>
      </c>
      <c r="H95" s="64" t="s">
        <v>577</v>
      </c>
      <c r="I95" s="2"/>
      <c r="J95" s="2"/>
    </row>
    <row r="96">
      <c r="B96" s="2"/>
      <c r="C96" s="2"/>
      <c r="D96" s="2"/>
      <c r="E96" s="2"/>
      <c r="F96" s="2"/>
      <c r="G96" s="2"/>
      <c r="H96" s="2"/>
      <c r="I96" s="2"/>
      <c r="J96" s="2"/>
    </row>
    <row r="97">
      <c r="B97" s="2"/>
      <c r="C97" s="2"/>
      <c r="D97" s="2"/>
      <c r="E97" s="2"/>
      <c r="F97" s="2"/>
      <c r="G97" s="2"/>
      <c r="H97" s="2"/>
      <c r="I97" s="2"/>
      <c r="J97" s="2"/>
    </row>
    <row r="98">
      <c r="B98" s="2"/>
      <c r="C98" s="2"/>
      <c r="D98" s="2"/>
      <c r="E98" s="2"/>
      <c r="F98" s="2"/>
      <c r="G98" s="2"/>
      <c r="H98" s="2"/>
      <c r="I98" s="2"/>
      <c r="J98" s="2"/>
    </row>
    <row r="99">
      <c r="B99" s="2"/>
      <c r="C99" s="2"/>
      <c r="D99" s="2"/>
      <c r="E99" s="2"/>
      <c r="F99" s="2"/>
      <c r="G99" s="2"/>
      <c r="H99" s="2"/>
      <c r="I99" s="2"/>
      <c r="J99" s="2"/>
    </row>
    <row r="100">
      <c r="B100" s="43" t="s">
        <v>578</v>
      </c>
      <c r="C100" s="2"/>
      <c r="D100" s="2"/>
      <c r="E100" s="2"/>
      <c r="F100" s="2"/>
      <c r="G100" s="2"/>
      <c r="H100" s="2"/>
      <c r="I100" s="2"/>
      <c r="J100" s="2"/>
    </row>
    <row r="101">
      <c r="B101" s="47"/>
      <c r="C101" s="2"/>
      <c r="D101" s="2"/>
      <c r="E101" s="2"/>
      <c r="F101" s="2"/>
      <c r="G101" s="2"/>
      <c r="H101" s="2"/>
      <c r="I101" s="2"/>
      <c r="J101" s="2"/>
    </row>
    <row r="102">
      <c r="B102" s="2"/>
      <c r="C102" s="2"/>
      <c r="D102" s="2"/>
      <c r="E102" s="2"/>
      <c r="F102" s="2"/>
      <c r="G102" s="2"/>
      <c r="H102" s="2"/>
      <c r="I102" s="2"/>
      <c r="J102" s="2"/>
    </row>
    <row r="103">
      <c r="B103" s="78" t="s">
        <v>579</v>
      </c>
      <c r="C103" s="2"/>
      <c r="D103" s="2"/>
      <c r="E103" s="2"/>
      <c r="F103" s="2"/>
      <c r="G103" s="2"/>
      <c r="H103" s="2"/>
      <c r="I103" s="2"/>
      <c r="J103" s="2"/>
    </row>
    <row r="104">
      <c r="B104" s="79"/>
      <c r="C104" s="2"/>
      <c r="D104" s="2"/>
      <c r="E104" s="2"/>
      <c r="F104" s="2"/>
      <c r="G104" s="2"/>
      <c r="H104" s="2"/>
      <c r="I104" s="2"/>
      <c r="J104" s="2"/>
    </row>
    <row r="105">
      <c r="B105" s="80" t="s">
        <v>580</v>
      </c>
      <c r="C105" s="2"/>
      <c r="D105" s="2"/>
      <c r="E105" s="2"/>
      <c r="F105" s="2"/>
      <c r="G105" s="2"/>
      <c r="H105" s="2"/>
      <c r="I105" s="2"/>
      <c r="J105" s="2"/>
    </row>
    <row r="106">
      <c r="B106" s="80"/>
      <c r="C106" s="2"/>
      <c r="D106" s="2"/>
      <c r="E106" s="2"/>
      <c r="F106" s="2"/>
      <c r="G106" s="2"/>
      <c r="H106" s="2"/>
      <c r="I106" s="2"/>
      <c r="J106" s="2"/>
    </row>
    <row r="107">
      <c r="B107" s="81" t="s">
        <v>581</v>
      </c>
      <c r="C107" s="2"/>
      <c r="D107" s="2"/>
      <c r="E107" s="2"/>
      <c r="F107" s="2"/>
      <c r="G107" s="2"/>
      <c r="H107" s="2"/>
      <c r="I107" s="2"/>
      <c r="J107" s="2"/>
    </row>
    <row r="108">
      <c r="B108" s="80"/>
      <c r="C108" s="2"/>
      <c r="D108" s="2"/>
      <c r="E108" s="2"/>
      <c r="F108" s="2"/>
      <c r="G108" s="2"/>
      <c r="H108" s="2"/>
      <c r="I108" s="2"/>
      <c r="J108" s="2"/>
    </row>
    <row r="109">
      <c r="B109" s="80" t="s">
        <v>582</v>
      </c>
      <c r="C109" s="2"/>
      <c r="D109" s="2"/>
      <c r="E109" s="2"/>
      <c r="F109" s="2"/>
      <c r="G109" s="2"/>
      <c r="H109" s="2"/>
      <c r="I109" s="2"/>
      <c r="J109" s="2"/>
    </row>
    <row r="110">
      <c r="B110" s="82"/>
      <c r="C110" s="2"/>
      <c r="D110" s="2"/>
      <c r="E110" s="2"/>
      <c r="F110" s="2"/>
      <c r="G110" s="2"/>
      <c r="H110" s="2"/>
      <c r="I110" s="2"/>
      <c r="J110" s="2"/>
    </row>
    <row r="111">
      <c r="B111" s="78" t="s">
        <v>583</v>
      </c>
      <c r="C111" s="2"/>
      <c r="D111" s="2"/>
      <c r="E111" s="2"/>
      <c r="F111" s="2"/>
      <c r="G111" s="2"/>
      <c r="H111" s="2"/>
      <c r="I111" s="2"/>
      <c r="J111" s="2"/>
    </row>
    <row r="112">
      <c r="B112" s="83"/>
      <c r="C112" s="2"/>
      <c r="D112" s="2"/>
      <c r="E112" s="2"/>
      <c r="F112" s="2"/>
      <c r="G112" s="2"/>
      <c r="H112" s="2"/>
      <c r="I112" s="2"/>
      <c r="J112" s="2"/>
    </row>
    <row r="113">
      <c r="B113" s="80" t="s">
        <v>584</v>
      </c>
      <c r="C113" s="2"/>
      <c r="D113" s="2"/>
      <c r="E113" s="2"/>
      <c r="F113" s="2"/>
      <c r="G113" s="2"/>
      <c r="H113" s="2"/>
      <c r="I113" s="2"/>
      <c r="J113" s="2"/>
    </row>
    <row r="114">
      <c r="C114" s="2"/>
      <c r="D114" s="2"/>
      <c r="E114" s="2"/>
      <c r="F114" s="2"/>
      <c r="G114" s="2"/>
      <c r="H114" s="2"/>
      <c r="I114" s="2"/>
      <c r="J114" s="2"/>
    </row>
    <row r="115">
      <c r="B115" s="78" t="s">
        <v>585</v>
      </c>
      <c r="C115" s="2"/>
      <c r="D115" s="2"/>
      <c r="E115" s="2"/>
      <c r="F115" s="2"/>
      <c r="G115" s="2"/>
      <c r="H115" s="2"/>
      <c r="I115" s="2"/>
      <c r="J115" s="2"/>
    </row>
    <row r="116">
      <c r="B116" s="83"/>
      <c r="C116" s="2"/>
      <c r="D116" s="2"/>
      <c r="E116" s="2"/>
      <c r="F116" s="2"/>
      <c r="G116" s="2"/>
      <c r="H116" s="2"/>
      <c r="I116" s="2"/>
      <c r="J116" s="2"/>
    </row>
    <row r="117">
      <c r="B117" s="84" t="s">
        <v>586</v>
      </c>
      <c r="C117" s="2"/>
      <c r="D117" s="2"/>
      <c r="E117" s="2"/>
      <c r="F117" s="2"/>
      <c r="G117" s="2"/>
      <c r="H117" s="2"/>
      <c r="I117" s="2"/>
      <c r="J117" s="2"/>
    </row>
    <row r="118">
      <c r="B118" s="2"/>
      <c r="C118" s="2"/>
      <c r="D118" s="2"/>
      <c r="E118" s="2"/>
      <c r="F118" s="2"/>
      <c r="G118" s="2"/>
      <c r="H118" s="2"/>
      <c r="I118" s="2"/>
      <c r="J118" s="2"/>
    </row>
    <row r="119">
      <c r="B119" s="85" t="s">
        <v>587</v>
      </c>
      <c r="C119" s="2"/>
      <c r="D119" s="2"/>
      <c r="E119" s="2"/>
      <c r="F119" s="2"/>
      <c r="G119" s="2"/>
      <c r="H119" s="2"/>
      <c r="I119" s="2"/>
      <c r="J119" s="2"/>
    </row>
    <row r="120">
      <c r="B120" s="83"/>
      <c r="C120" s="2"/>
      <c r="D120" s="2"/>
      <c r="E120" s="2"/>
      <c r="F120" s="2"/>
      <c r="G120" s="2"/>
      <c r="H120" s="2"/>
      <c r="I120" s="2"/>
      <c r="J120" s="2"/>
    </row>
    <row r="121" ht="22.5" customHeight="1">
      <c r="B121" s="44" t="s">
        <v>588</v>
      </c>
      <c r="C121" s="44" t="s">
        <v>589</v>
      </c>
      <c r="D121" s="44" t="s">
        <v>590</v>
      </c>
      <c r="E121" s="2"/>
      <c r="F121" s="2"/>
      <c r="G121" s="2"/>
      <c r="H121" s="2"/>
      <c r="I121" s="2"/>
      <c r="J121" s="2"/>
    </row>
    <row r="122" ht="22.5" customHeight="1">
      <c r="B122" s="46" t="s">
        <v>591</v>
      </c>
      <c r="C122" s="46" t="s">
        <v>592</v>
      </c>
      <c r="D122" s="46" t="s">
        <v>593</v>
      </c>
      <c r="E122" s="2"/>
      <c r="F122" s="2"/>
      <c r="G122" s="2"/>
      <c r="H122" s="2"/>
      <c r="I122" s="2"/>
      <c r="J122" s="2"/>
    </row>
    <row r="123" ht="22.5" customHeight="1">
      <c r="B123" s="46" t="s">
        <v>594</v>
      </c>
      <c r="C123" s="46" t="s">
        <v>595</v>
      </c>
      <c r="D123" s="46" t="s">
        <v>596</v>
      </c>
      <c r="E123" s="2"/>
      <c r="F123" s="2"/>
      <c r="G123" s="2"/>
      <c r="H123" s="2"/>
      <c r="I123" s="2"/>
      <c r="J123" s="2"/>
    </row>
    <row r="124" ht="22.5" customHeight="1">
      <c r="B124" s="46" t="s">
        <v>597</v>
      </c>
      <c r="C124" s="46" t="s">
        <v>598</v>
      </c>
      <c r="D124" s="46" t="s">
        <v>593</v>
      </c>
      <c r="E124" s="2"/>
      <c r="F124" s="2"/>
      <c r="G124" s="2"/>
      <c r="H124" s="2"/>
      <c r="I124" s="2"/>
      <c r="J124" s="2"/>
    </row>
    <row r="125" ht="22.5" customHeight="1">
      <c r="B125" s="46" t="s">
        <v>255</v>
      </c>
      <c r="C125" s="46" t="s">
        <v>599</v>
      </c>
      <c r="D125" s="46" t="s">
        <v>74</v>
      </c>
      <c r="E125" s="2"/>
      <c r="F125" s="2"/>
      <c r="G125" s="2"/>
      <c r="H125" s="2"/>
      <c r="I125" s="2"/>
      <c r="J125" s="2"/>
    </row>
    <row r="126" ht="22.5" customHeight="1">
      <c r="B126" s="46" t="s">
        <v>600</v>
      </c>
      <c r="C126" s="46" t="s">
        <v>601</v>
      </c>
      <c r="D126" s="46" t="s">
        <v>602</v>
      </c>
      <c r="E126" s="2"/>
      <c r="F126" s="2"/>
      <c r="G126" s="2"/>
      <c r="H126" s="2"/>
      <c r="I126" s="2"/>
      <c r="J126" s="2"/>
    </row>
    <row r="127" ht="22.5" customHeight="1">
      <c r="B127" s="46" t="s">
        <v>603</v>
      </c>
      <c r="C127" s="46" t="s">
        <v>604</v>
      </c>
      <c r="D127" s="46" t="s">
        <v>605</v>
      </c>
      <c r="E127" s="2"/>
      <c r="F127" s="2"/>
      <c r="G127" s="2"/>
      <c r="H127" s="2"/>
      <c r="I127" s="2"/>
      <c r="J127" s="2"/>
    </row>
    <row r="128">
      <c r="B128" s="2"/>
      <c r="C128" s="2"/>
      <c r="D128" s="2"/>
      <c r="E128" s="2"/>
      <c r="F128" s="2"/>
      <c r="G128" s="2"/>
      <c r="H128" s="2"/>
      <c r="I128" s="2"/>
      <c r="J128" s="2"/>
    </row>
    <row r="129">
      <c r="B129" s="85" t="s">
        <v>606</v>
      </c>
      <c r="C129" s="2"/>
      <c r="D129" s="2"/>
      <c r="E129" s="2"/>
      <c r="F129" s="2"/>
      <c r="G129" s="2"/>
      <c r="H129" s="2"/>
      <c r="I129" s="2"/>
      <c r="J129" s="2"/>
    </row>
    <row r="130">
      <c r="B130" s="83"/>
      <c r="C130" s="2"/>
      <c r="D130" s="2"/>
      <c r="E130" s="2"/>
      <c r="F130" s="2"/>
      <c r="G130" s="2"/>
      <c r="H130" s="2"/>
      <c r="I130" s="2"/>
      <c r="J130" s="2"/>
    </row>
    <row r="131">
      <c r="B131" s="84" t="s">
        <v>607</v>
      </c>
      <c r="C131" s="2"/>
      <c r="D131" s="2"/>
      <c r="E131" s="2"/>
      <c r="F131" s="2"/>
      <c r="G131" s="2"/>
      <c r="H131" s="2"/>
      <c r="I131" s="2"/>
      <c r="J131" s="2"/>
    </row>
    <row r="132">
      <c r="B132" s="2"/>
      <c r="C132" s="2"/>
      <c r="D132" s="2"/>
      <c r="E132" s="2"/>
      <c r="F132" s="2"/>
      <c r="G132" s="2"/>
      <c r="H132" s="2"/>
      <c r="I132" s="2"/>
      <c r="J132" s="2"/>
    </row>
    <row r="133">
      <c r="B133" s="85" t="s">
        <v>608</v>
      </c>
      <c r="C133" s="2"/>
      <c r="D133" s="2"/>
      <c r="E133" s="2"/>
      <c r="F133" s="2"/>
      <c r="G133" s="2"/>
      <c r="H133" s="2"/>
      <c r="I133" s="2"/>
      <c r="J133" s="2"/>
    </row>
    <row r="134">
      <c r="B134" s="83"/>
      <c r="C134" s="2"/>
      <c r="D134" s="2"/>
      <c r="E134" s="2"/>
      <c r="F134" s="2"/>
      <c r="G134" s="2"/>
      <c r="H134" s="2"/>
      <c r="I134" s="2"/>
      <c r="J134" s="2"/>
    </row>
    <row r="135">
      <c r="B135" s="86" t="s">
        <v>609</v>
      </c>
      <c r="C135" s="2"/>
      <c r="D135" s="2"/>
      <c r="E135" s="2"/>
      <c r="F135" s="2"/>
      <c r="G135" s="2"/>
      <c r="H135" s="2"/>
      <c r="I135" s="2"/>
      <c r="J135" s="2"/>
    </row>
    <row r="136">
      <c r="B136" s="2"/>
      <c r="C136" s="2"/>
      <c r="D136" s="2"/>
      <c r="E136" s="2"/>
      <c r="F136" s="2"/>
      <c r="G136" s="2"/>
      <c r="H136" s="2"/>
      <c r="I136" s="2"/>
      <c r="J136" s="2"/>
    </row>
    <row r="137">
      <c r="B137" s="2"/>
      <c r="C137" s="2"/>
      <c r="D137" s="2"/>
      <c r="E137" s="2"/>
      <c r="F137" s="2"/>
      <c r="G137" s="2"/>
      <c r="H137" s="2"/>
      <c r="I137" s="2"/>
      <c r="J137" s="2"/>
    </row>
    <row r="138">
      <c r="B138" s="2"/>
      <c r="C138" s="2"/>
      <c r="D138" s="2"/>
      <c r="E138" s="2"/>
      <c r="F138" s="2"/>
      <c r="G138" s="2"/>
      <c r="H138" s="2"/>
      <c r="I138" s="2"/>
      <c r="J138" s="2"/>
    </row>
    <row r="139">
      <c r="B139" s="43" t="s">
        <v>610</v>
      </c>
      <c r="C139" s="2"/>
      <c r="D139" s="2"/>
      <c r="E139" s="2"/>
      <c r="F139" s="2"/>
      <c r="G139" s="2"/>
      <c r="H139" s="2"/>
      <c r="I139" s="2"/>
      <c r="J139" s="2"/>
    </row>
    <row r="140">
      <c r="B140" s="47"/>
      <c r="C140" s="2"/>
      <c r="D140" s="2"/>
      <c r="E140" s="2"/>
      <c r="F140" s="2"/>
      <c r="G140" s="2"/>
      <c r="H140" s="2"/>
      <c r="I140" s="2"/>
      <c r="J140" s="2"/>
    </row>
    <row r="141">
      <c r="B141" s="86" t="s">
        <v>611</v>
      </c>
      <c r="C141" s="2"/>
      <c r="D141" s="2"/>
      <c r="E141" s="2"/>
      <c r="F141" s="2"/>
      <c r="G141" s="2"/>
      <c r="H141" s="2"/>
      <c r="I141" s="2"/>
      <c r="J141" s="2"/>
    </row>
    <row r="142">
      <c r="B142" s="2"/>
      <c r="C142" s="2"/>
      <c r="D142" s="2"/>
      <c r="E142" s="2"/>
      <c r="F142" s="2"/>
      <c r="G142" s="2"/>
      <c r="H142" s="2"/>
      <c r="I142" s="2"/>
      <c r="J142" s="2"/>
    </row>
    <row r="143">
      <c r="B143" s="2"/>
      <c r="C143" s="2"/>
      <c r="D143" s="2"/>
      <c r="E143" s="2"/>
      <c r="F143" s="2"/>
      <c r="G143" s="2"/>
      <c r="H143" s="2"/>
      <c r="I143" s="2"/>
      <c r="J143" s="2"/>
    </row>
    <row r="144">
      <c r="B144" s="43" t="s">
        <v>612</v>
      </c>
      <c r="C144" s="2"/>
      <c r="D144" s="2"/>
      <c r="E144" s="2"/>
      <c r="F144" s="2"/>
      <c r="G144" s="2"/>
      <c r="H144" s="2"/>
      <c r="I144" s="2"/>
      <c r="J144" s="2"/>
    </row>
    <row r="145">
      <c r="B145" s="47"/>
      <c r="C145" s="2"/>
      <c r="D145" s="2"/>
      <c r="E145" s="2"/>
      <c r="F145" s="2"/>
      <c r="G145" s="2"/>
      <c r="H145" s="2"/>
      <c r="I145" s="2"/>
      <c r="J145" s="2"/>
    </row>
    <row r="146">
      <c r="B146" s="86" t="s">
        <v>613</v>
      </c>
      <c r="C146" s="2"/>
      <c r="D146" s="2"/>
      <c r="E146" s="2"/>
      <c r="F146" s="2"/>
      <c r="G146" s="2"/>
      <c r="H146" s="2"/>
      <c r="I146" s="2"/>
      <c r="J146" s="2"/>
    </row>
    <row r="147">
      <c r="B147" s="2"/>
      <c r="C147" s="2"/>
      <c r="D147" s="2"/>
      <c r="E147" s="2"/>
      <c r="F147" s="2"/>
      <c r="G147" s="2"/>
      <c r="H147" s="2"/>
      <c r="I147" s="2"/>
      <c r="J147" s="2"/>
    </row>
    <row r="148">
      <c r="B148" s="2"/>
      <c r="C148" s="2"/>
      <c r="D148" s="2"/>
      <c r="E148" s="2"/>
      <c r="F148" s="2"/>
      <c r="G148" s="2"/>
      <c r="H148" s="2"/>
      <c r="I148" s="2"/>
      <c r="J148" s="2"/>
    </row>
    <row r="149">
      <c r="B149" s="43" t="s">
        <v>614</v>
      </c>
      <c r="C149" s="2"/>
      <c r="D149" s="2"/>
      <c r="E149" s="2"/>
      <c r="F149" s="2"/>
      <c r="G149" s="2"/>
      <c r="H149" s="2"/>
      <c r="I149" s="2"/>
      <c r="J149" s="2"/>
    </row>
    <row r="150">
      <c r="B150" s="47"/>
      <c r="C150" s="2"/>
      <c r="D150" s="2"/>
      <c r="E150" s="2"/>
      <c r="F150" s="2"/>
      <c r="G150" s="2"/>
      <c r="H150" s="2"/>
      <c r="I150" s="2"/>
      <c r="J150" s="2"/>
    </row>
    <row r="151">
      <c r="B151" s="47"/>
      <c r="C151" s="2"/>
      <c r="D151" s="2"/>
      <c r="E151" s="2"/>
      <c r="F151" s="2"/>
      <c r="G151" s="2"/>
      <c r="H151" s="2"/>
      <c r="I151" s="2"/>
      <c r="J151" s="2"/>
    </row>
    <row r="152">
      <c r="B152" s="43" t="s">
        <v>615</v>
      </c>
      <c r="C152" s="2"/>
      <c r="D152" s="2"/>
      <c r="E152" s="2"/>
      <c r="F152" s="2"/>
      <c r="G152" s="2"/>
      <c r="H152" s="2"/>
      <c r="I152" s="2"/>
      <c r="J152" s="2"/>
    </row>
    <row r="153">
      <c r="B153" s="47"/>
      <c r="C153" s="2"/>
      <c r="D153" s="2"/>
      <c r="E153" s="2"/>
      <c r="F153" s="2"/>
      <c r="G153" s="2"/>
      <c r="H153" s="2"/>
      <c r="I153" s="2"/>
      <c r="J153" s="2"/>
    </row>
    <row r="154">
      <c r="B154" s="85" t="s">
        <v>616</v>
      </c>
      <c r="C154" s="2"/>
      <c r="D154" s="2"/>
      <c r="E154" s="2"/>
      <c r="F154" s="2"/>
      <c r="G154" s="2"/>
      <c r="H154" s="2"/>
      <c r="I154" s="2"/>
      <c r="J154" s="2"/>
    </row>
    <row r="155">
      <c r="B155" s="83"/>
      <c r="C155" s="2"/>
      <c r="D155" s="2"/>
      <c r="E155" s="2"/>
      <c r="F155" s="2"/>
      <c r="G155" s="2"/>
      <c r="H155" s="2"/>
      <c r="I155" s="2"/>
      <c r="J155" s="2"/>
    </row>
    <row r="156">
      <c r="B156" s="83"/>
      <c r="C156" s="2"/>
      <c r="D156" s="2"/>
      <c r="E156" s="2"/>
      <c r="F156" s="2"/>
      <c r="G156" s="2"/>
      <c r="H156" s="2"/>
      <c r="I156" s="2"/>
      <c r="J156" s="2"/>
    </row>
    <row r="157">
      <c r="B157" s="78" t="s">
        <v>617</v>
      </c>
      <c r="C157" s="2"/>
      <c r="D157" s="2"/>
      <c r="E157" s="2"/>
      <c r="F157" s="2"/>
      <c r="G157" s="2"/>
      <c r="H157" s="2"/>
      <c r="I157" s="2"/>
      <c r="J157" s="2"/>
    </row>
    <row r="158">
      <c r="B158" s="87"/>
      <c r="C158" s="2"/>
      <c r="D158" s="2"/>
      <c r="E158" s="2"/>
      <c r="F158" s="2"/>
      <c r="G158" s="2"/>
      <c r="H158" s="2"/>
      <c r="I158" s="2"/>
      <c r="J158" s="2"/>
    </row>
    <row r="159">
      <c r="B159" s="87"/>
      <c r="C159" s="2"/>
      <c r="D159" s="2"/>
      <c r="E159" s="2"/>
      <c r="F159" s="2"/>
      <c r="G159" s="2"/>
      <c r="H159" s="2"/>
      <c r="I159" s="2"/>
      <c r="J159" s="2"/>
    </row>
    <row r="160">
      <c r="B160" s="78" t="s">
        <v>618</v>
      </c>
      <c r="C160" s="2"/>
      <c r="D160" s="2"/>
      <c r="E160" s="2"/>
      <c r="F160" s="2"/>
      <c r="G160" s="2"/>
      <c r="H160" s="2"/>
      <c r="I160" s="2"/>
      <c r="J160" s="2"/>
    </row>
    <row r="161">
      <c r="B161" s="87"/>
      <c r="C161" s="2"/>
      <c r="D161" s="2"/>
      <c r="E161" s="2"/>
      <c r="F161" s="2"/>
      <c r="G161" s="2"/>
      <c r="H161" s="2"/>
      <c r="I161" s="2"/>
      <c r="J161" s="2"/>
    </row>
    <row r="162">
      <c r="B162" s="78" t="s">
        <v>619</v>
      </c>
      <c r="C162" s="2"/>
      <c r="D162" s="2"/>
      <c r="E162" s="2"/>
      <c r="F162" s="2"/>
      <c r="G162" s="2"/>
      <c r="H162" s="2"/>
      <c r="I162" s="2"/>
      <c r="J162" s="2"/>
    </row>
    <row r="163">
      <c r="B163" s="87"/>
      <c r="C163" s="2"/>
      <c r="D163" s="2"/>
      <c r="E163" s="2"/>
      <c r="F163" s="2"/>
      <c r="G163" s="2"/>
      <c r="H163" s="2"/>
      <c r="I163" s="2"/>
      <c r="J163" s="2"/>
    </row>
    <row r="164">
      <c r="B164" s="78" t="s">
        <v>620</v>
      </c>
      <c r="C164" s="2"/>
      <c r="D164" s="2"/>
      <c r="E164" s="2"/>
      <c r="F164" s="2"/>
      <c r="G164" s="2"/>
      <c r="H164" s="2"/>
      <c r="I164" s="2"/>
      <c r="J164" s="2"/>
    </row>
    <row r="165">
      <c r="B165" s="87"/>
      <c r="C165" s="2"/>
      <c r="D165" s="2"/>
      <c r="E165" s="2"/>
      <c r="F165" s="2"/>
      <c r="G165" s="2"/>
      <c r="H165" s="2"/>
      <c r="I165" s="2"/>
      <c r="J165" s="2"/>
    </row>
    <row r="166">
      <c r="B166" s="78" t="s">
        <v>621</v>
      </c>
      <c r="C166" s="2"/>
      <c r="D166" s="2"/>
      <c r="E166" s="2"/>
      <c r="F166" s="2"/>
      <c r="G166" s="2"/>
      <c r="H166" s="2"/>
      <c r="I166" s="2"/>
      <c r="J166" s="2"/>
    </row>
    <row r="167">
      <c r="B167" s="87"/>
      <c r="C167" s="2"/>
      <c r="D167" s="2"/>
      <c r="E167" s="2"/>
      <c r="F167" s="2"/>
      <c r="G167" s="2"/>
      <c r="H167" s="2"/>
      <c r="I167" s="2"/>
      <c r="J167" s="2"/>
    </row>
    <row r="168">
      <c r="B168" s="87"/>
      <c r="C168" s="2"/>
      <c r="D168" s="2"/>
      <c r="E168" s="2"/>
      <c r="F168" s="2"/>
      <c r="G168" s="2"/>
      <c r="H168" s="2"/>
      <c r="I168" s="2"/>
      <c r="J168" s="2"/>
    </row>
    <row r="169">
      <c r="B169" s="78" t="s">
        <v>622</v>
      </c>
      <c r="C169" s="2"/>
      <c r="D169" s="2"/>
      <c r="E169" s="2"/>
      <c r="F169" s="2"/>
      <c r="G169" s="2"/>
      <c r="H169" s="2"/>
      <c r="I169" s="2"/>
      <c r="J169" s="2"/>
    </row>
    <row r="170">
      <c r="B170" s="87"/>
      <c r="C170" s="2"/>
      <c r="D170" s="2"/>
      <c r="E170" s="2"/>
      <c r="F170" s="2"/>
      <c r="G170" s="2"/>
      <c r="H170" s="2"/>
      <c r="I170" s="2"/>
      <c r="J170" s="2"/>
    </row>
    <row r="171">
      <c r="B171" s="88" t="s">
        <v>623</v>
      </c>
      <c r="C171" s="2"/>
      <c r="D171" s="2"/>
      <c r="E171" s="2"/>
      <c r="F171" s="2"/>
      <c r="G171" s="2"/>
      <c r="H171" s="2"/>
      <c r="I171" s="2"/>
      <c r="J171" s="2"/>
    </row>
    <row r="172">
      <c r="B172" s="87"/>
      <c r="C172" s="2"/>
      <c r="D172" s="2"/>
      <c r="E172" s="2"/>
      <c r="F172" s="2"/>
      <c r="G172" s="2"/>
      <c r="H172" s="2"/>
      <c r="I172" s="2"/>
      <c r="J172" s="2"/>
    </row>
    <row r="173">
      <c r="B173" s="88" t="s">
        <v>624</v>
      </c>
      <c r="C173" s="2"/>
      <c r="D173" s="2"/>
      <c r="E173" s="2"/>
      <c r="F173" s="2"/>
      <c r="G173" s="2"/>
      <c r="H173" s="2"/>
      <c r="I173" s="2"/>
      <c r="J173" s="2"/>
    </row>
    <row r="174">
      <c r="B174" s="87"/>
      <c r="C174" s="2"/>
      <c r="D174" s="2"/>
      <c r="E174" s="2"/>
      <c r="F174" s="2"/>
      <c r="G174" s="2"/>
      <c r="H174" s="2"/>
      <c r="I174" s="2"/>
      <c r="J174" s="2"/>
    </row>
    <row r="175">
      <c r="B175" s="87"/>
      <c r="C175" s="2"/>
      <c r="D175" s="2"/>
      <c r="E175" s="2"/>
      <c r="F175" s="2"/>
      <c r="G175" s="2"/>
      <c r="H175" s="2"/>
      <c r="I175" s="2"/>
      <c r="J175" s="2"/>
    </row>
    <row r="176">
      <c r="B176" s="78" t="s">
        <v>625</v>
      </c>
      <c r="C176" s="2"/>
      <c r="D176" s="2"/>
      <c r="E176" s="2"/>
      <c r="F176" s="2"/>
      <c r="G176" s="2"/>
      <c r="H176" s="2"/>
      <c r="I176" s="2"/>
      <c r="J176" s="2"/>
    </row>
    <row r="177">
      <c r="B177" s="87"/>
      <c r="C177" s="2"/>
      <c r="D177" s="2"/>
      <c r="E177" s="2"/>
      <c r="F177" s="2"/>
      <c r="G177" s="2"/>
      <c r="H177" s="2"/>
      <c r="I177" s="2"/>
      <c r="J177" s="2"/>
    </row>
    <row r="178">
      <c r="B178" s="88" t="s">
        <v>626</v>
      </c>
      <c r="C178" s="2"/>
      <c r="D178" s="2"/>
      <c r="E178" s="2"/>
      <c r="F178" s="2"/>
      <c r="G178" s="2"/>
      <c r="H178" s="2"/>
      <c r="I178" s="2"/>
      <c r="J178" s="2"/>
    </row>
    <row r="179">
      <c r="B179" s="87"/>
      <c r="C179" s="2"/>
      <c r="D179" s="2"/>
      <c r="E179" s="2"/>
      <c r="F179" s="2"/>
      <c r="G179" s="2"/>
      <c r="H179" s="2"/>
      <c r="I179" s="2"/>
      <c r="J179" s="2"/>
    </row>
    <row r="180">
      <c r="B180" s="88" t="s">
        <v>627</v>
      </c>
      <c r="C180" s="2"/>
      <c r="D180" s="2"/>
      <c r="E180" s="2"/>
      <c r="F180" s="2"/>
      <c r="G180" s="2"/>
      <c r="H180" s="2"/>
      <c r="I180" s="2"/>
      <c r="J180" s="2"/>
    </row>
    <row r="181">
      <c r="B181" s="87"/>
      <c r="C181" s="2"/>
      <c r="D181" s="2"/>
      <c r="E181" s="2"/>
      <c r="F181" s="2"/>
      <c r="G181" s="2"/>
      <c r="H181" s="2"/>
      <c r="I181" s="2"/>
      <c r="J181" s="2"/>
    </row>
    <row r="182">
      <c r="B182" s="88" t="s">
        <v>628</v>
      </c>
      <c r="C182" s="2"/>
      <c r="D182" s="2"/>
      <c r="E182" s="2"/>
      <c r="F182" s="2"/>
      <c r="G182" s="2"/>
      <c r="H182" s="2"/>
      <c r="I182" s="2"/>
      <c r="J182" s="2"/>
    </row>
    <row r="183">
      <c r="B183" s="87"/>
      <c r="C183" s="2"/>
      <c r="D183" s="2"/>
      <c r="E183" s="2"/>
      <c r="F183" s="2"/>
      <c r="G183" s="2"/>
      <c r="H183" s="2"/>
      <c r="I183" s="2"/>
      <c r="J183" s="2"/>
    </row>
    <row r="184">
      <c r="B184" s="87"/>
      <c r="C184" s="2"/>
      <c r="D184" s="2"/>
      <c r="E184" s="2"/>
      <c r="F184" s="2"/>
      <c r="G184" s="2"/>
      <c r="H184" s="2"/>
      <c r="I184" s="2"/>
      <c r="J184" s="2"/>
    </row>
    <row r="185">
      <c r="B185" s="78" t="s">
        <v>629</v>
      </c>
      <c r="C185" s="2"/>
      <c r="D185" s="2"/>
      <c r="E185" s="2"/>
      <c r="F185" s="2"/>
      <c r="G185" s="2"/>
      <c r="H185" s="2"/>
      <c r="I185" s="2"/>
      <c r="J185" s="2"/>
    </row>
    <row r="186">
      <c r="B186" s="87"/>
      <c r="C186" s="2"/>
      <c r="D186" s="2"/>
      <c r="E186" s="2"/>
      <c r="F186" s="2"/>
      <c r="G186" s="2"/>
      <c r="H186" s="2"/>
      <c r="I186" s="2"/>
      <c r="J186" s="2"/>
    </row>
    <row r="187">
      <c r="B187" s="88" t="s">
        <v>630</v>
      </c>
      <c r="C187" s="2"/>
      <c r="D187" s="2"/>
      <c r="E187" s="2"/>
      <c r="F187" s="2"/>
      <c r="G187" s="2"/>
      <c r="H187" s="2"/>
      <c r="I187" s="2"/>
      <c r="J187" s="2"/>
    </row>
    <row r="188">
      <c r="B188" s="87"/>
      <c r="C188" s="2"/>
      <c r="D188" s="2"/>
      <c r="E188" s="2"/>
      <c r="F188" s="2"/>
      <c r="G188" s="2"/>
      <c r="H188" s="2"/>
      <c r="I188" s="2"/>
      <c r="J188" s="2"/>
    </row>
    <row r="189">
      <c r="B189" s="88" t="s">
        <v>631</v>
      </c>
      <c r="C189" s="2"/>
      <c r="D189" s="2"/>
      <c r="E189" s="2"/>
      <c r="F189" s="2"/>
      <c r="G189" s="2"/>
      <c r="H189" s="2"/>
      <c r="I189" s="2"/>
      <c r="J189" s="2"/>
    </row>
    <row r="190">
      <c r="B190" s="87"/>
      <c r="C190" s="2"/>
      <c r="D190" s="2"/>
      <c r="E190" s="2"/>
      <c r="F190" s="2"/>
      <c r="G190" s="2"/>
      <c r="H190" s="2"/>
      <c r="I190" s="2"/>
      <c r="J190" s="2"/>
    </row>
    <row r="191">
      <c r="B191" s="87"/>
      <c r="C191" s="2"/>
      <c r="D191" s="2"/>
      <c r="E191" s="2"/>
      <c r="F191" s="2"/>
      <c r="G191" s="2"/>
      <c r="H191" s="2"/>
      <c r="I191" s="2"/>
      <c r="J191" s="2"/>
    </row>
    <row r="192">
      <c r="B192" s="78" t="s">
        <v>632</v>
      </c>
      <c r="C192" s="2"/>
      <c r="D192" s="2"/>
      <c r="E192" s="2"/>
      <c r="F192" s="2"/>
      <c r="G192" s="2"/>
      <c r="H192" s="2"/>
      <c r="I192" s="2"/>
      <c r="J192" s="2"/>
    </row>
    <row r="193">
      <c r="B193" s="87"/>
      <c r="C193" s="2"/>
      <c r="D193" s="2"/>
      <c r="E193" s="2"/>
      <c r="F193" s="2"/>
      <c r="G193" s="2"/>
      <c r="H193" s="2"/>
      <c r="I193" s="2"/>
      <c r="J193" s="2"/>
    </row>
    <row r="194">
      <c r="B194" s="88" t="s">
        <v>633</v>
      </c>
      <c r="C194" s="2"/>
      <c r="D194" s="2"/>
      <c r="E194" s="2"/>
      <c r="F194" s="2"/>
      <c r="G194" s="2"/>
      <c r="H194" s="2"/>
      <c r="I194" s="2"/>
      <c r="J194" s="2"/>
    </row>
    <row r="195">
      <c r="B195" s="87"/>
      <c r="C195" s="2"/>
      <c r="D195" s="2"/>
      <c r="E195" s="2"/>
      <c r="F195" s="2"/>
      <c r="G195" s="2"/>
      <c r="H195" s="2"/>
      <c r="I195" s="2"/>
      <c r="J195" s="2"/>
    </row>
    <row r="196">
      <c r="B196" s="88" t="s">
        <v>634</v>
      </c>
      <c r="C196" s="2"/>
      <c r="D196" s="2"/>
      <c r="E196" s="2"/>
      <c r="F196" s="2"/>
      <c r="G196" s="2"/>
      <c r="H196" s="2"/>
      <c r="I196" s="2"/>
      <c r="J196" s="2"/>
    </row>
    <row r="197">
      <c r="B197" s="87"/>
      <c r="C197" s="2"/>
      <c r="D197" s="2"/>
      <c r="E197" s="2"/>
      <c r="F197" s="2"/>
      <c r="G197" s="2"/>
      <c r="H197" s="2"/>
      <c r="I197" s="2"/>
      <c r="J197" s="2"/>
    </row>
    <row r="198">
      <c r="B198" s="88" t="s">
        <v>635</v>
      </c>
      <c r="C198" s="2"/>
      <c r="D198" s="2"/>
      <c r="E198" s="2"/>
      <c r="F198" s="2"/>
      <c r="G198" s="2"/>
      <c r="H198" s="2"/>
      <c r="I198" s="2"/>
      <c r="J198" s="2"/>
    </row>
    <row r="199">
      <c r="B199" s="87"/>
      <c r="C199" s="2"/>
      <c r="D199" s="2"/>
      <c r="E199" s="2"/>
      <c r="F199" s="2"/>
      <c r="G199" s="2"/>
      <c r="H199" s="2"/>
      <c r="I199" s="2"/>
      <c r="J199" s="2"/>
    </row>
    <row r="200">
      <c r="B200" s="87"/>
      <c r="C200" s="2"/>
      <c r="D200" s="2"/>
      <c r="E200" s="2"/>
      <c r="F200" s="2"/>
      <c r="G200" s="2"/>
      <c r="H200" s="2"/>
      <c r="I200" s="2"/>
      <c r="J200" s="2"/>
    </row>
    <row r="201">
      <c r="B201" s="78" t="s">
        <v>636</v>
      </c>
      <c r="C201" s="2"/>
      <c r="D201" s="2"/>
      <c r="E201" s="2"/>
      <c r="F201" s="2"/>
      <c r="G201" s="2"/>
      <c r="H201" s="2"/>
      <c r="I201" s="2"/>
      <c r="J201" s="2"/>
    </row>
    <row r="202">
      <c r="B202" s="87"/>
      <c r="C202" s="2"/>
      <c r="D202" s="2"/>
      <c r="E202" s="2"/>
      <c r="F202" s="2"/>
      <c r="G202" s="2"/>
      <c r="H202" s="2"/>
      <c r="I202" s="2"/>
      <c r="J202" s="2"/>
    </row>
    <row r="203">
      <c r="B203" s="88" t="s">
        <v>637</v>
      </c>
      <c r="C203" s="2"/>
      <c r="D203" s="2"/>
      <c r="E203" s="2"/>
      <c r="F203" s="2"/>
      <c r="G203" s="2"/>
      <c r="H203" s="2"/>
      <c r="I203" s="2"/>
      <c r="J203" s="2"/>
    </row>
    <row r="204">
      <c r="B204" s="87"/>
      <c r="C204" s="2"/>
      <c r="D204" s="2"/>
      <c r="E204" s="2"/>
      <c r="F204" s="2"/>
      <c r="G204" s="2"/>
      <c r="H204" s="2"/>
      <c r="I204" s="2"/>
      <c r="J204" s="2"/>
    </row>
    <row r="205">
      <c r="B205" s="88" t="s">
        <v>638</v>
      </c>
      <c r="C205" s="2"/>
      <c r="D205" s="2"/>
      <c r="E205" s="2"/>
      <c r="F205" s="2"/>
      <c r="G205" s="2"/>
      <c r="H205" s="2"/>
      <c r="I205" s="2"/>
      <c r="J205" s="2"/>
    </row>
    <row r="206">
      <c r="B206" s="87"/>
      <c r="C206" s="2"/>
      <c r="D206" s="2"/>
      <c r="E206" s="2"/>
      <c r="F206" s="2"/>
      <c r="G206" s="2"/>
      <c r="H206" s="2"/>
      <c r="I206" s="2"/>
      <c r="J206" s="2"/>
    </row>
    <row r="207">
      <c r="B207" s="88" t="s">
        <v>639</v>
      </c>
      <c r="C207" s="2"/>
      <c r="D207" s="2"/>
      <c r="E207" s="2"/>
      <c r="F207" s="2"/>
      <c r="G207" s="2"/>
      <c r="H207" s="2"/>
      <c r="I207" s="2"/>
      <c r="J207" s="2"/>
    </row>
    <row r="208">
      <c r="B208" s="87"/>
      <c r="C208" s="2"/>
      <c r="D208" s="2"/>
      <c r="E208" s="2"/>
      <c r="F208" s="2"/>
      <c r="G208" s="2"/>
      <c r="H208" s="2"/>
      <c r="I208" s="2"/>
      <c r="J208" s="2"/>
    </row>
    <row r="209">
      <c r="B209" s="87"/>
      <c r="C209" s="2"/>
      <c r="D209" s="2"/>
      <c r="E209" s="2"/>
      <c r="F209" s="2"/>
      <c r="G209" s="2"/>
      <c r="H209" s="2"/>
      <c r="I209" s="2"/>
      <c r="J209" s="2"/>
    </row>
    <row r="210">
      <c r="B210" s="78" t="s">
        <v>640</v>
      </c>
      <c r="C210" s="2"/>
      <c r="D210" s="2"/>
      <c r="E210" s="2"/>
      <c r="F210" s="2"/>
      <c r="G210" s="2"/>
      <c r="H210" s="2"/>
      <c r="I210" s="2"/>
      <c r="J210" s="2"/>
    </row>
    <row r="211">
      <c r="B211" s="87"/>
      <c r="C211" s="2"/>
      <c r="D211" s="2"/>
      <c r="E211" s="2"/>
      <c r="F211" s="2"/>
      <c r="G211" s="2"/>
      <c r="H211" s="2"/>
      <c r="I211" s="2"/>
      <c r="J211" s="2"/>
    </row>
    <row r="212">
      <c r="B212" s="88" t="s">
        <v>641</v>
      </c>
      <c r="C212" s="2"/>
      <c r="D212" s="2"/>
      <c r="E212" s="2"/>
      <c r="F212" s="2"/>
      <c r="G212" s="2"/>
      <c r="H212" s="2"/>
      <c r="I212" s="2"/>
      <c r="J212" s="2"/>
    </row>
    <row r="213">
      <c r="B213" s="87"/>
      <c r="C213" s="2"/>
      <c r="D213" s="2"/>
      <c r="E213" s="2"/>
      <c r="F213" s="2"/>
      <c r="G213" s="2"/>
      <c r="H213" s="2"/>
      <c r="I213" s="2"/>
      <c r="J213" s="2"/>
    </row>
    <row r="214">
      <c r="B214" s="88" t="s">
        <v>642</v>
      </c>
      <c r="C214" s="2"/>
      <c r="D214" s="2"/>
      <c r="E214" s="2"/>
      <c r="F214" s="2"/>
      <c r="G214" s="2"/>
      <c r="H214" s="2"/>
      <c r="I214" s="2"/>
      <c r="J214" s="2"/>
    </row>
    <row r="215">
      <c r="B215" s="87"/>
      <c r="C215" s="2"/>
      <c r="D215" s="2"/>
      <c r="E215" s="2"/>
      <c r="F215" s="2"/>
      <c r="G215" s="2"/>
      <c r="H215" s="2"/>
      <c r="I215" s="2"/>
      <c r="J215" s="2"/>
    </row>
    <row r="216">
      <c r="B216" s="88" t="s">
        <v>643</v>
      </c>
      <c r="C216" s="2"/>
      <c r="D216" s="2"/>
      <c r="E216" s="2"/>
      <c r="F216" s="2"/>
      <c r="G216" s="2"/>
      <c r="H216" s="2"/>
      <c r="I216" s="2"/>
      <c r="J216" s="2"/>
    </row>
    <row r="217">
      <c r="B217" s="87"/>
      <c r="C217" s="2"/>
      <c r="D217" s="2"/>
      <c r="E217" s="2"/>
      <c r="F217" s="2"/>
      <c r="G217" s="2"/>
      <c r="H217" s="2"/>
      <c r="I217" s="2"/>
      <c r="J217" s="2"/>
    </row>
    <row r="218">
      <c r="B218" s="78" t="s">
        <v>644</v>
      </c>
      <c r="C218" s="2"/>
      <c r="D218" s="2"/>
      <c r="E218" s="2"/>
      <c r="F218" s="2"/>
      <c r="G218" s="2"/>
      <c r="H218" s="2"/>
      <c r="I218" s="2"/>
      <c r="J218" s="2"/>
    </row>
    <row r="219">
      <c r="B219" s="87"/>
      <c r="C219" s="2"/>
      <c r="D219" s="2"/>
      <c r="E219" s="2"/>
      <c r="F219" s="2"/>
      <c r="G219" s="2"/>
      <c r="H219" s="2"/>
      <c r="I219" s="2"/>
      <c r="J219" s="2"/>
    </row>
    <row r="220">
      <c r="B220" s="88" t="s">
        <v>645</v>
      </c>
      <c r="C220" s="2"/>
      <c r="D220" s="2"/>
      <c r="E220" s="2"/>
      <c r="F220" s="2"/>
      <c r="G220" s="2"/>
      <c r="H220" s="2"/>
      <c r="I220" s="2"/>
      <c r="J220" s="2"/>
    </row>
    <row r="221">
      <c r="B221" s="87"/>
      <c r="C221" s="2"/>
      <c r="D221" s="2"/>
      <c r="E221" s="2"/>
      <c r="F221" s="2"/>
      <c r="G221" s="2"/>
      <c r="H221" s="2"/>
      <c r="I221" s="2"/>
      <c r="J221" s="2"/>
    </row>
    <row r="222">
      <c r="B222" s="88" t="s">
        <v>646</v>
      </c>
      <c r="C222" s="2"/>
      <c r="D222" s="2"/>
      <c r="E222" s="2"/>
      <c r="F222" s="2"/>
      <c r="G222" s="2"/>
      <c r="H222" s="2"/>
      <c r="I222" s="2"/>
      <c r="J222" s="2"/>
    </row>
    <row r="223">
      <c r="B223" s="87"/>
      <c r="C223" s="2"/>
      <c r="D223" s="2"/>
      <c r="E223" s="2"/>
      <c r="F223" s="2"/>
      <c r="G223" s="2"/>
      <c r="H223" s="2"/>
      <c r="I223" s="2"/>
      <c r="J223" s="2"/>
    </row>
    <row r="224">
      <c r="B224" s="88" t="s">
        <v>647</v>
      </c>
      <c r="C224" s="2"/>
      <c r="D224" s="2"/>
      <c r="E224" s="2"/>
      <c r="F224" s="2"/>
      <c r="G224" s="2"/>
      <c r="H224" s="2"/>
      <c r="I224" s="2"/>
      <c r="J224" s="2"/>
    </row>
    <row r="225">
      <c r="B225" s="87"/>
      <c r="C225" s="2"/>
      <c r="D225" s="2"/>
      <c r="E225" s="2"/>
      <c r="F225" s="2"/>
      <c r="G225" s="2"/>
      <c r="H225" s="2"/>
      <c r="I225" s="2"/>
      <c r="J225" s="2"/>
    </row>
    <row r="226">
      <c r="B226" s="88" t="s">
        <v>648</v>
      </c>
      <c r="C226" s="2"/>
      <c r="D226" s="2"/>
      <c r="E226" s="2"/>
      <c r="F226" s="2"/>
      <c r="G226" s="2"/>
      <c r="H226" s="2"/>
      <c r="I226" s="2"/>
      <c r="J226" s="2"/>
    </row>
    <row r="227">
      <c r="B227" s="87"/>
      <c r="C227" s="2"/>
      <c r="D227" s="2"/>
      <c r="E227" s="2"/>
      <c r="F227" s="2"/>
      <c r="G227" s="2"/>
      <c r="H227" s="2"/>
      <c r="I227" s="2"/>
      <c r="J227" s="2"/>
    </row>
    <row r="228">
      <c r="B228" s="78" t="s">
        <v>649</v>
      </c>
      <c r="C228" s="2"/>
      <c r="D228" s="2"/>
      <c r="E228" s="2"/>
      <c r="F228" s="2"/>
      <c r="G228" s="2"/>
      <c r="H228" s="2"/>
      <c r="I228" s="2"/>
      <c r="J228" s="2"/>
    </row>
    <row r="229">
      <c r="B229" s="87"/>
      <c r="C229" s="2"/>
      <c r="D229" s="2"/>
      <c r="E229" s="2"/>
      <c r="F229" s="2"/>
      <c r="G229" s="2"/>
      <c r="H229" s="2"/>
      <c r="I229" s="2"/>
      <c r="J229" s="2"/>
    </row>
    <row r="230">
      <c r="B230" s="88" t="s">
        <v>650</v>
      </c>
      <c r="C230" s="2"/>
      <c r="D230" s="2"/>
      <c r="E230" s="2"/>
      <c r="F230" s="2"/>
      <c r="G230" s="2"/>
      <c r="H230" s="2"/>
      <c r="I230" s="2"/>
      <c r="J230" s="2"/>
    </row>
    <row r="231">
      <c r="B231" s="87"/>
      <c r="C231" s="2"/>
      <c r="D231" s="2"/>
      <c r="E231" s="2"/>
      <c r="F231" s="2"/>
      <c r="G231" s="2"/>
      <c r="H231" s="2"/>
      <c r="I231" s="2"/>
      <c r="J231" s="2"/>
    </row>
    <row r="232">
      <c r="B232" s="88" t="s">
        <v>651</v>
      </c>
      <c r="C232" s="2"/>
      <c r="D232" s="2"/>
      <c r="E232" s="2"/>
      <c r="F232" s="2"/>
      <c r="G232" s="2"/>
      <c r="H232" s="2"/>
      <c r="I232" s="2"/>
      <c r="J232" s="2"/>
    </row>
    <row r="233">
      <c r="B233" s="87"/>
      <c r="C233" s="2"/>
      <c r="D233" s="2"/>
      <c r="E233" s="2"/>
      <c r="F233" s="2"/>
      <c r="G233" s="2"/>
      <c r="H233" s="2"/>
      <c r="I233" s="2"/>
      <c r="J233" s="2"/>
    </row>
    <row r="234">
      <c r="B234" s="88" t="s">
        <v>652</v>
      </c>
      <c r="C234" s="2"/>
      <c r="D234" s="2"/>
      <c r="E234" s="2"/>
      <c r="F234" s="2"/>
      <c r="G234" s="2"/>
      <c r="H234" s="2"/>
      <c r="I234" s="2"/>
      <c r="J234" s="2"/>
    </row>
    <row r="235">
      <c r="B235" s="87"/>
      <c r="C235" s="2"/>
      <c r="D235" s="2"/>
      <c r="E235" s="2"/>
      <c r="F235" s="2"/>
      <c r="G235" s="2"/>
      <c r="H235" s="2"/>
      <c r="I235" s="2"/>
      <c r="J235" s="2"/>
    </row>
    <row r="236">
      <c r="B236" s="85" t="s">
        <v>653</v>
      </c>
      <c r="C236" s="2"/>
      <c r="D236" s="2"/>
      <c r="E236" s="2"/>
      <c r="F236" s="2"/>
      <c r="G236" s="2"/>
      <c r="H236" s="2"/>
      <c r="I236" s="2"/>
      <c r="J236" s="2"/>
    </row>
    <row r="237">
      <c r="B237" s="83"/>
      <c r="C237" s="2"/>
      <c r="D237" s="2"/>
      <c r="E237" s="2"/>
      <c r="F237" s="2"/>
      <c r="G237" s="2"/>
      <c r="H237" s="2"/>
      <c r="I237" s="2"/>
      <c r="J237" s="2"/>
    </row>
    <row r="238">
      <c r="B238" s="83"/>
      <c r="C238" s="2"/>
      <c r="D238" s="2"/>
      <c r="E238" s="2"/>
      <c r="F238" s="2"/>
      <c r="G238" s="2"/>
      <c r="H238" s="2"/>
      <c r="I238" s="2"/>
      <c r="J238" s="2"/>
    </row>
    <row r="239">
      <c r="B239" s="78" t="s">
        <v>617</v>
      </c>
      <c r="C239" s="2"/>
      <c r="D239" s="2"/>
      <c r="E239" s="2"/>
      <c r="F239" s="2"/>
      <c r="G239" s="2"/>
      <c r="H239" s="2"/>
      <c r="I239" s="2"/>
      <c r="J239" s="2"/>
    </row>
    <row r="240">
      <c r="B240" s="87"/>
      <c r="C240" s="2"/>
      <c r="D240" s="2"/>
      <c r="E240" s="2"/>
      <c r="F240" s="2"/>
      <c r="G240" s="2"/>
      <c r="H240" s="2"/>
      <c r="I240" s="2"/>
      <c r="J240" s="2"/>
    </row>
    <row r="241">
      <c r="B241" s="87"/>
      <c r="C241" s="2"/>
      <c r="D241" s="2"/>
      <c r="E241" s="2"/>
      <c r="F241" s="2"/>
      <c r="G241" s="2"/>
      <c r="H241" s="2"/>
      <c r="I241" s="2"/>
      <c r="J241" s="2"/>
    </row>
    <row r="242">
      <c r="B242" s="78" t="s">
        <v>654</v>
      </c>
      <c r="C242" s="2"/>
      <c r="D242" s="2"/>
      <c r="E242" s="2"/>
      <c r="F242" s="2"/>
      <c r="G242" s="2"/>
      <c r="H242" s="2"/>
      <c r="I242" s="2"/>
      <c r="J242" s="2"/>
    </row>
    <row r="243">
      <c r="B243" s="87"/>
      <c r="C243" s="2"/>
      <c r="D243" s="2"/>
      <c r="E243" s="2"/>
      <c r="F243" s="2"/>
      <c r="G243" s="2"/>
      <c r="H243" s="2"/>
      <c r="I243" s="2"/>
      <c r="J243" s="2"/>
    </row>
    <row r="244">
      <c r="B244" s="78" t="s">
        <v>655</v>
      </c>
      <c r="C244" s="2"/>
      <c r="D244" s="2"/>
      <c r="E244" s="2"/>
      <c r="F244" s="2"/>
      <c r="G244" s="2"/>
      <c r="H244" s="2"/>
      <c r="I244" s="2"/>
      <c r="J244" s="2"/>
    </row>
    <row r="245">
      <c r="B245" s="87"/>
      <c r="C245" s="2"/>
      <c r="D245" s="2"/>
      <c r="E245" s="2"/>
      <c r="F245" s="2"/>
      <c r="G245" s="2"/>
      <c r="H245" s="2"/>
      <c r="I245" s="2"/>
      <c r="J245" s="2"/>
    </row>
    <row r="246">
      <c r="B246" s="78" t="s">
        <v>656</v>
      </c>
      <c r="C246" s="2"/>
      <c r="D246" s="2"/>
      <c r="E246" s="2"/>
      <c r="F246" s="2"/>
      <c r="G246" s="2"/>
      <c r="H246" s="2"/>
      <c r="I246" s="2"/>
      <c r="J246" s="2"/>
    </row>
    <row r="247">
      <c r="B247" s="87"/>
      <c r="C247" s="2"/>
      <c r="D247" s="2"/>
      <c r="E247" s="2"/>
      <c r="F247" s="2"/>
      <c r="G247" s="2"/>
      <c r="H247" s="2"/>
      <c r="I247" s="2"/>
      <c r="J247" s="2"/>
    </row>
    <row r="248">
      <c r="B248" s="78" t="s">
        <v>621</v>
      </c>
      <c r="C248" s="2"/>
      <c r="D248" s="2"/>
      <c r="E248" s="2"/>
      <c r="F248" s="2"/>
      <c r="G248" s="2"/>
      <c r="H248" s="2"/>
      <c r="I248" s="2"/>
      <c r="J248" s="2"/>
    </row>
    <row r="249">
      <c r="B249" s="87"/>
      <c r="C249" s="2"/>
      <c r="D249" s="2"/>
      <c r="E249" s="2"/>
      <c r="F249" s="2"/>
      <c r="G249" s="2"/>
      <c r="H249" s="2"/>
      <c r="I249" s="2"/>
      <c r="J249" s="2"/>
    </row>
    <row r="250">
      <c r="B250" s="87"/>
      <c r="C250" s="2"/>
      <c r="D250" s="2"/>
      <c r="E250" s="2"/>
      <c r="F250" s="2"/>
      <c r="G250" s="2"/>
      <c r="H250" s="2"/>
      <c r="I250" s="2"/>
      <c r="J250" s="2"/>
    </row>
    <row r="251">
      <c r="B251" s="78" t="s">
        <v>657</v>
      </c>
      <c r="C251" s="2"/>
      <c r="D251" s="2"/>
      <c r="E251" s="2"/>
      <c r="F251" s="2"/>
      <c r="G251" s="2"/>
      <c r="H251" s="2"/>
      <c r="I251" s="2"/>
      <c r="J251" s="2"/>
    </row>
    <row r="252">
      <c r="B252" s="87"/>
      <c r="C252" s="2"/>
      <c r="D252" s="2"/>
      <c r="E252" s="2"/>
      <c r="F252" s="2"/>
      <c r="G252" s="2"/>
      <c r="H252" s="2"/>
      <c r="I252" s="2"/>
      <c r="J252" s="2"/>
    </row>
    <row r="253">
      <c r="B253" s="88" t="s">
        <v>658</v>
      </c>
      <c r="C253" s="2"/>
      <c r="D253" s="2"/>
      <c r="E253" s="2"/>
      <c r="F253" s="2"/>
      <c r="G253" s="2"/>
      <c r="H253" s="2"/>
      <c r="I253" s="2"/>
      <c r="J253" s="2"/>
    </row>
    <row r="254">
      <c r="B254" s="87"/>
      <c r="C254" s="2"/>
      <c r="D254" s="2"/>
      <c r="E254" s="2"/>
      <c r="F254" s="2"/>
      <c r="G254" s="2"/>
      <c r="H254" s="2"/>
      <c r="I254" s="2"/>
      <c r="J254" s="2"/>
    </row>
    <row r="255">
      <c r="B255" s="88" t="s">
        <v>659</v>
      </c>
      <c r="C255" s="2"/>
      <c r="D255" s="2"/>
      <c r="E255" s="2"/>
      <c r="F255" s="2"/>
      <c r="G255" s="2"/>
      <c r="H255" s="2"/>
      <c r="I255" s="2"/>
      <c r="J255" s="2"/>
    </row>
    <row r="256">
      <c r="B256" s="87"/>
      <c r="C256" s="2"/>
      <c r="D256" s="2"/>
      <c r="E256" s="2"/>
      <c r="F256" s="2"/>
      <c r="G256" s="2"/>
      <c r="H256" s="2"/>
      <c r="I256" s="2"/>
      <c r="J256" s="2"/>
    </row>
    <row r="257">
      <c r="B257" s="87"/>
      <c r="C257" s="2"/>
      <c r="D257" s="2"/>
      <c r="E257" s="2"/>
      <c r="F257" s="2"/>
      <c r="G257" s="2"/>
      <c r="H257" s="2"/>
      <c r="I257" s="2"/>
      <c r="J257" s="2"/>
    </row>
    <row r="258">
      <c r="B258" s="78" t="s">
        <v>625</v>
      </c>
      <c r="C258" s="2"/>
      <c r="D258" s="2"/>
      <c r="E258" s="2"/>
      <c r="F258" s="2"/>
      <c r="G258" s="2"/>
      <c r="H258" s="2"/>
      <c r="I258" s="2"/>
      <c r="J258" s="2"/>
    </row>
    <row r="259">
      <c r="B259" s="87"/>
      <c r="C259" s="2"/>
      <c r="D259" s="2"/>
      <c r="E259" s="2"/>
      <c r="F259" s="2"/>
      <c r="G259" s="2"/>
      <c r="H259" s="2"/>
      <c r="I259" s="2"/>
      <c r="J259" s="2"/>
    </row>
    <row r="260">
      <c r="B260" s="88" t="s">
        <v>660</v>
      </c>
      <c r="C260" s="2"/>
      <c r="D260" s="2"/>
      <c r="E260" s="2"/>
      <c r="F260" s="2"/>
      <c r="G260" s="2"/>
      <c r="H260" s="2"/>
      <c r="I260" s="2"/>
      <c r="J260" s="2"/>
    </row>
    <row r="261">
      <c r="B261" s="87"/>
      <c r="C261" s="2"/>
      <c r="D261" s="2"/>
      <c r="E261" s="2"/>
      <c r="F261" s="2"/>
      <c r="G261" s="2"/>
      <c r="H261" s="2"/>
      <c r="I261" s="2"/>
      <c r="J261" s="2"/>
    </row>
    <row r="262">
      <c r="B262" s="88" t="s">
        <v>661</v>
      </c>
      <c r="C262" s="2"/>
      <c r="D262" s="2"/>
      <c r="E262" s="2"/>
      <c r="F262" s="2"/>
      <c r="G262" s="2"/>
      <c r="H262" s="2"/>
      <c r="I262" s="2"/>
      <c r="J262" s="2"/>
    </row>
    <row r="263">
      <c r="B263" s="87"/>
      <c r="C263" s="2"/>
      <c r="D263" s="2"/>
      <c r="E263" s="2"/>
      <c r="F263" s="2"/>
      <c r="G263" s="2"/>
      <c r="H263" s="2"/>
      <c r="I263" s="2"/>
      <c r="J263" s="2"/>
    </row>
    <row r="264">
      <c r="B264" s="88" t="s">
        <v>662</v>
      </c>
      <c r="C264" s="2"/>
      <c r="D264" s="2"/>
      <c r="E264" s="2"/>
      <c r="F264" s="2"/>
      <c r="G264" s="2"/>
      <c r="H264" s="2"/>
      <c r="I264" s="2"/>
      <c r="J264" s="2"/>
    </row>
    <row r="265">
      <c r="B265" s="87"/>
      <c r="C265" s="2"/>
      <c r="D265" s="2"/>
      <c r="E265" s="2"/>
      <c r="F265" s="2"/>
      <c r="G265" s="2"/>
      <c r="H265" s="2"/>
      <c r="I265" s="2"/>
      <c r="J265" s="2"/>
    </row>
    <row r="266">
      <c r="B266" s="87"/>
      <c r="C266" s="2"/>
      <c r="D266" s="2"/>
      <c r="E266" s="2"/>
      <c r="F266" s="2"/>
      <c r="G266" s="2"/>
      <c r="H266" s="2"/>
      <c r="I266" s="2"/>
      <c r="J266" s="2"/>
    </row>
    <row r="267">
      <c r="B267" s="78" t="s">
        <v>663</v>
      </c>
      <c r="C267" s="2"/>
      <c r="D267" s="2"/>
      <c r="E267" s="2"/>
      <c r="F267" s="2"/>
      <c r="G267" s="2"/>
      <c r="H267" s="2"/>
      <c r="I267" s="2"/>
      <c r="J267" s="2"/>
    </row>
    <row r="268">
      <c r="B268" s="87"/>
      <c r="C268" s="2"/>
      <c r="D268" s="2"/>
      <c r="E268" s="2"/>
      <c r="F268" s="2"/>
      <c r="G268" s="2"/>
      <c r="H268" s="2"/>
      <c r="I268" s="2"/>
      <c r="J268" s="2"/>
    </row>
    <row r="269">
      <c r="B269" s="88" t="s">
        <v>664</v>
      </c>
      <c r="C269" s="2"/>
      <c r="D269" s="2"/>
      <c r="E269" s="2"/>
      <c r="F269" s="2"/>
      <c r="G269" s="2"/>
      <c r="H269" s="2"/>
      <c r="I269" s="2"/>
      <c r="J269" s="2"/>
    </row>
    <row r="270">
      <c r="B270" s="87"/>
      <c r="C270" s="2"/>
      <c r="D270" s="2"/>
      <c r="E270" s="2"/>
      <c r="F270" s="2"/>
      <c r="G270" s="2"/>
      <c r="H270" s="2"/>
      <c r="I270" s="2"/>
      <c r="J270" s="2"/>
    </row>
    <row r="271">
      <c r="B271" s="88" t="s">
        <v>665</v>
      </c>
      <c r="C271" s="2"/>
      <c r="D271" s="2"/>
      <c r="E271" s="2"/>
      <c r="F271" s="2"/>
      <c r="G271" s="2"/>
      <c r="H271" s="2"/>
      <c r="I271" s="2"/>
      <c r="J271" s="2"/>
    </row>
    <row r="272">
      <c r="B272" s="87"/>
      <c r="C272" s="2"/>
      <c r="D272" s="2"/>
      <c r="E272" s="2"/>
      <c r="F272" s="2"/>
      <c r="G272" s="2"/>
      <c r="H272" s="2"/>
      <c r="I272" s="2"/>
      <c r="J272" s="2"/>
    </row>
    <row r="273">
      <c r="B273" s="88" t="s">
        <v>666</v>
      </c>
      <c r="C273" s="2"/>
      <c r="D273" s="2"/>
      <c r="E273" s="2"/>
      <c r="F273" s="2"/>
      <c r="G273" s="2"/>
      <c r="H273" s="2"/>
      <c r="I273" s="2"/>
      <c r="J273" s="2"/>
    </row>
    <row r="274">
      <c r="B274" s="87"/>
      <c r="C274" s="2"/>
      <c r="D274" s="2"/>
      <c r="E274" s="2"/>
      <c r="F274" s="2"/>
      <c r="G274" s="2"/>
      <c r="H274" s="2"/>
      <c r="I274" s="2"/>
      <c r="J274" s="2"/>
    </row>
    <row r="275">
      <c r="B275" s="88" t="s">
        <v>667</v>
      </c>
      <c r="C275" s="2"/>
      <c r="D275" s="2"/>
      <c r="E275" s="2"/>
      <c r="F275" s="2"/>
      <c r="G275" s="2"/>
      <c r="H275" s="2"/>
      <c r="I275" s="2"/>
      <c r="J275" s="2"/>
    </row>
    <row r="276">
      <c r="B276" s="87"/>
      <c r="C276" s="2"/>
      <c r="D276" s="2"/>
      <c r="E276" s="2"/>
      <c r="F276" s="2"/>
      <c r="G276" s="2"/>
      <c r="H276" s="2"/>
      <c r="I276" s="2"/>
      <c r="J276" s="2"/>
    </row>
    <row r="277">
      <c r="B277" s="87"/>
      <c r="C277" s="2"/>
      <c r="D277" s="2"/>
      <c r="E277" s="2"/>
      <c r="F277" s="2"/>
      <c r="G277" s="2"/>
      <c r="H277" s="2"/>
      <c r="I277" s="2"/>
      <c r="J277" s="2"/>
    </row>
    <row r="278">
      <c r="B278" s="78" t="s">
        <v>668</v>
      </c>
      <c r="C278" s="2"/>
      <c r="D278" s="2"/>
      <c r="E278" s="2"/>
      <c r="F278" s="2"/>
      <c r="G278" s="2"/>
      <c r="H278" s="2"/>
      <c r="I278" s="2"/>
      <c r="J278" s="2"/>
    </row>
    <row r="279">
      <c r="B279" s="87"/>
      <c r="C279" s="2"/>
      <c r="D279" s="2"/>
      <c r="E279" s="2"/>
      <c r="F279" s="2"/>
      <c r="G279" s="2"/>
      <c r="H279" s="2"/>
      <c r="I279" s="2"/>
      <c r="J279" s="2"/>
    </row>
    <row r="280">
      <c r="B280" s="88" t="s">
        <v>669</v>
      </c>
      <c r="C280" s="2"/>
      <c r="D280" s="2"/>
      <c r="E280" s="2"/>
      <c r="F280" s="2"/>
      <c r="G280" s="2"/>
      <c r="H280" s="2"/>
      <c r="I280" s="2"/>
      <c r="J280" s="2"/>
    </row>
    <row r="281">
      <c r="B281" s="87"/>
      <c r="C281" s="2"/>
      <c r="D281" s="2"/>
      <c r="E281" s="2"/>
      <c r="F281" s="2"/>
      <c r="G281" s="2"/>
      <c r="H281" s="2"/>
      <c r="I281" s="2"/>
      <c r="J281" s="2"/>
    </row>
    <row r="282">
      <c r="B282" s="88" t="s">
        <v>670</v>
      </c>
      <c r="C282" s="2"/>
      <c r="D282" s="2"/>
      <c r="E282" s="2"/>
      <c r="F282" s="2"/>
      <c r="G282" s="2"/>
      <c r="H282" s="2"/>
      <c r="I282" s="2"/>
      <c r="J282" s="2"/>
    </row>
    <row r="283">
      <c r="B283" s="87"/>
      <c r="C283" s="2"/>
      <c r="D283" s="2"/>
      <c r="E283" s="2"/>
      <c r="F283" s="2"/>
      <c r="G283" s="2"/>
      <c r="H283" s="2"/>
      <c r="I283" s="2"/>
      <c r="J283" s="2"/>
    </row>
    <row r="284">
      <c r="B284" s="87"/>
      <c r="C284" s="2"/>
      <c r="D284" s="2"/>
      <c r="E284" s="2"/>
      <c r="F284" s="2"/>
      <c r="G284" s="2"/>
      <c r="H284" s="2"/>
      <c r="I284" s="2"/>
      <c r="J284" s="2"/>
    </row>
    <row r="285">
      <c r="B285" s="78" t="s">
        <v>671</v>
      </c>
      <c r="C285" s="2"/>
      <c r="D285" s="2"/>
      <c r="E285" s="2"/>
      <c r="F285" s="2"/>
      <c r="G285" s="2"/>
      <c r="H285" s="2"/>
      <c r="I285" s="2"/>
      <c r="J285" s="2"/>
    </row>
    <row r="286">
      <c r="B286" s="87"/>
      <c r="C286" s="2"/>
      <c r="D286" s="2"/>
      <c r="E286" s="2"/>
      <c r="F286" s="2"/>
      <c r="G286" s="2"/>
      <c r="H286" s="2"/>
      <c r="I286" s="2"/>
      <c r="J286" s="2"/>
    </row>
    <row r="287">
      <c r="B287" s="88" t="s">
        <v>672</v>
      </c>
      <c r="C287" s="2"/>
      <c r="D287" s="2"/>
      <c r="E287" s="2"/>
      <c r="F287" s="2"/>
      <c r="G287" s="2"/>
      <c r="H287" s="2"/>
      <c r="I287" s="2"/>
      <c r="J287" s="2"/>
    </row>
    <row r="288">
      <c r="B288" s="87"/>
      <c r="C288" s="2"/>
      <c r="D288" s="2"/>
      <c r="E288" s="2"/>
      <c r="F288" s="2"/>
      <c r="G288" s="2"/>
      <c r="H288" s="2"/>
      <c r="I288" s="2"/>
      <c r="J288" s="2"/>
    </row>
    <row r="289">
      <c r="B289" s="88" t="s">
        <v>673</v>
      </c>
      <c r="C289" s="2"/>
      <c r="D289" s="2"/>
      <c r="E289" s="2"/>
      <c r="F289" s="2"/>
      <c r="G289" s="2"/>
      <c r="H289" s="2"/>
      <c r="I289" s="2"/>
      <c r="J289" s="2"/>
    </row>
    <row r="290">
      <c r="B290" s="87"/>
      <c r="C290" s="2"/>
      <c r="D290" s="2"/>
      <c r="E290" s="2"/>
      <c r="F290" s="2"/>
      <c r="G290" s="2"/>
      <c r="H290" s="2"/>
      <c r="I290" s="2"/>
      <c r="J290" s="2"/>
    </row>
    <row r="291">
      <c r="B291" s="88" t="s">
        <v>674</v>
      </c>
      <c r="C291" s="2"/>
      <c r="D291" s="2"/>
      <c r="E291" s="2"/>
      <c r="F291" s="2"/>
      <c r="G291" s="2"/>
      <c r="H291" s="2"/>
      <c r="I291" s="2"/>
      <c r="J291" s="2"/>
    </row>
    <row r="292">
      <c r="B292" s="87"/>
      <c r="C292" s="2"/>
      <c r="D292" s="2"/>
      <c r="E292" s="2"/>
      <c r="F292" s="2"/>
      <c r="G292" s="2"/>
      <c r="H292" s="2"/>
      <c r="I292" s="2"/>
      <c r="J292" s="2"/>
    </row>
    <row r="293">
      <c r="B293" s="87"/>
      <c r="C293" s="2"/>
      <c r="D293" s="2"/>
      <c r="E293" s="2"/>
      <c r="F293" s="2"/>
      <c r="G293" s="2"/>
      <c r="H293" s="2"/>
      <c r="I293" s="2"/>
      <c r="J293" s="2"/>
    </row>
    <row r="294">
      <c r="B294" s="78" t="s">
        <v>675</v>
      </c>
      <c r="C294" s="2"/>
      <c r="D294" s="2"/>
      <c r="E294" s="2"/>
      <c r="F294" s="2"/>
      <c r="G294" s="2"/>
      <c r="H294" s="2"/>
      <c r="I294" s="2"/>
      <c r="J294" s="2"/>
    </row>
    <row r="295">
      <c r="B295" s="87"/>
      <c r="C295" s="2"/>
      <c r="D295" s="2"/>
      <c r="E295" s="2"/>
      <c r="F295" s="2"/>
      <c r="G295" s="2"/>
      <c r="H295" s="2"/>
      <c r="I295" s="2"/>
      <c r="J295" s="2"/>
    </row>
    <row r="296">
      <c r="B296" s="88" t="s">
        <v>676</v>
      </c>
      <c r="C296" s="2"/>
      <c r="D296" s="2"/>
      <c r="E296" s="2"/>
      <c r="F296" s="2"/>
      <c r="G296" s="2"/>
      <c r="H296" s="2"/>
      <c r="I296" s="2"/>
      <c r="J296" s="2"/>
    </row>
    <row r="297">
      <c r="B297" s="87"/>
      <c r="C297" s="2"/>
      <c r="D297" s="2"/>
      <c r="E297" s="2"/>
      <c r="F297" s="2"/>
      <c r="G297" s="2"/>
      <c r="H297" s="2"/>
      <c r="I297" s="2"/>
      <c r="J297" s="2"/>
    </row>
    <row r="298">
      <c r="B298" s="88" t="s">
        <v>677</v>
      </c>
      <c r="C298" s="2"/>
      <c r="D298" s="2"/>
      <c r="E298" s="2"/>
      <c r="F298" s="2"/>
      <c r="G298" s="2"/>
      <c r="H298" s="2"/>
      <c r="I298" s="2"/>
      <c r="J298" s="2"/>
    </row>
    <row r="299">
      <c r="B299" s="87"/>
      <c r="C299" s="2"/>
      <c r="D299" s="2"/>
      <c r="E299" s="2"/>
      <c r="F299" s="2"/>
      <c r="G299" s="2"/>
      <c r="H299" s="2"/>
      <c r="I299" s="2"/>
      <c r="J299" s="2"/>
    </row>
    <row r="300">
      <c r="B300" s="88" t="s">
        <v>678</v>
      </c>
      <c r="C300" s="2"/>
      <c r="D300" s="2"/>
      <c r="E300" s="2"/>
      <c r="F300" s="2"/>
      <c r="G300" s="2"/>
      <c r="H300" s="2"/>
      <c r="I300" s="2"/>
      <c r="J300" s="2"/>
    </row>
    <row r="301">
      <c r="B301" s="87"/>
      <c r="C301" s="2"/>
      <c r="D301" s="2"/>
      <c r="E301" s="2"/>
      <c r="F301" s="2"/>
      <c r="G301" s="2"/>
      <c r="H301" s="2"/>
      <c r="I301" s="2"/>
      <c r="J301" s="2"/>
    </row>
    <row r="302">
      <c r="B302" s="78" t="s">
        <v>644</v>
      </c>
      <c r="C302" s="2"/>
      <c r="D302" s="2"/>
      <c r="E302" s="2"/>
      <c r="F302" s="2"/>
      <c r="G302" s="2"/>
      <c r="H302" s="2"/>
      <c r="I302" s="2"/>
      <c r="J302" s="2"/>
    </row>
    <row r="303">
      <c r="B303" s="87"/>
      <c r="C303" s="2"/>
      <c r="D303" s="2"/>
      <c r="E303" s="2"/>
      <c r="F303" s="2"/>
      <c r="G303" s="2"/>
      <c r="H303" s="2"/>
      <c r="I303" s="2"/>
      <c r="J303" s="2"/>
    </row>
    <row r="304">
      <c r="B304" s="88" t="s">
        <v>679</v>
      </c>
      <c r="C304" s="2"/>
      <c r="D304" s="2"/>
      <c r="E304" s="2"/>
      <c r="F304" s="2"/>
      <c r="G304" s="2"/>
      <c r="H304" s="2"/>
      <c r="I304" s="2"/>
      <c r="J304" s="2"/>
    </row>
    <row r="305">
      <c r="B305" s="87"/>
      <c r="C305" s="2"/>
      <c r="D305" s="2"/>
      <c r="E305" s="2"/>
      <c r="F305" s="2"/>
      <c r="G305" s="2"/>
      <c r="H305" s="2"/>
      <c r="I305" s="2"/>
      <c r="J305" s="2"/>
    </row>
    <row r="306">
      <c r="B306" s="88" t="s">
        <v>680</v>
      </c>
      <c r="C306" s="2"/>
      <c r="D306" s="2"/>
      <c r="E306" s="2"/>
      <c r="F306" s="2"/>
      <c r="G306" s="2"/>
      <c r="H306" s="2"/>
      <c r="I306" s="2"/>
      <c r="J306" s="2"/>
    </row>
    <row r="307">
      <c r="B307" s="87"/>
      <c r="C307" s="2"/>
      <c r="D307" s="2"/>
      <c r="E307" s="2"/>
      <c r="F307" s="2"/>
      <c r="G307" s="2"/>
      <c r="H307" s="2"/>
      <c r="I307" s="2"/>
      <c r="J307" s="2"/>
    </row>
    <row r="308">
      <c r="B308" s="88" t="s">
        <v>681</v>
      </c>
      <c r="C308" s="2"/>
      <c r="D308" s="2"/>
      <c r="E308" s="2"/>
      <c r="F308" s="2"/>
      <c r="G308" s="2"/>
      <c r="H308" s="2"/>
      <c r="I308" s="2"/>
      <c r="J308" s="2"/>
    </row>
    <row r="309">
      <c r="B309" s="87"/>
      <c r="C309" s="2"/>
      <c r="D309" s="2"/>
      <c r="E309" s="2"/>
      <c r="F309" s="2"/>
      <c r="G309" s="2"/>
      <c r="H309" s="2"/>
      <c r="I309" s="2"/>
      <c r="J309" s="2"/>
    </row>
    <row r="310">
      <c r="B310" s="88" t="s">
        <v>682</v>
      </c>
      <c r="C310" s="2"/>
      <c r="D310" s="2"/>
      <c r="E310" s="2"/>
      <c r="F310" s="2"/>
      <c r="G310" s="2"/>
      <c r="H310" s="2"/>
      <c r="I310" s="2"/>
      <c r="J310" s="2"/>
    </row>
    <row r="311">
      <c r="B311" s="87"/>
      <c r="C311" s="2"/>
      <c r="D311" s="2"/>
      <c r="E311" s="2"/>
      <c r="F311" s="2"/>
      <c r="G311" s="2"/>
      <c r="H311" s="2"/>
      <c r="I311" s="2"/>
      <c r="J311" s="2"/>
    </row>
    <row r="312">
      <c r="B312" s="78" t="s">
        <v>649</v>
      </c>
      <c r="C312" s="2"/>
      <c r="D312" s="2"/>
      <c r="E312" s="2"/>
      <c r="F312" s="2"/>
      <c r="G312" s="2"/>
      <c r="H312" s="2"/>
      <c r="I312" s="2"/>
      <c r="J312" s="2"/>
    </row>
    <row r="313">
      <c r="B313" s="87"/>
      <c r="C313" s="2"/>
      <c r="D313" s="2"/>
      <c r="E313" s="2"/>
      <c r="F313" s="2"/>
      <c r="G313" s="2"/>
      <c r="H313" s="2"/>
      <c r="I313" s="2"/>
      <c r="J313" s="2"/>
    </row>
    <row r="314">
      <c r="B314" s="88" t="s">
        <v>683</v>
      </c>
      <c r="C314" s="2"/>
      <c r="D314" s="2"/>
      <c r="E314" s="2"/>
      <c r="F314" s="2"/>
      <c r="G314" s="2"/>
      <c r="H314" s="2"/>
      <c r="I314" s="2"/>
      <c r="J314" s="2"/>
    </row>
    <row r="315">
      <c r="B315" s="87"/>
      <c r="C315" s="2"/>
      <c r="D315" s="2"/>
      <c r="E315" s="2"/>
      <c r="F315" s="2"/>
      <c r="G315" s="2"/>
      <c r="H315" s="2"/>
      <c r="I315" s="2"/>
      <c r="J315" s="2"/>
    </row>
    <row r="316">
      <c r="B316" s="88" t="s">
        <v>684</v>
      </c>
      <c r="C316" s="2"/>
      <c r="D316" s="2"/>
      <c r="E316" s="2"/>
      <c r="F316" s="2"/>
      <c r="G316" s="2"/>
      <c r="H316" s="2"/>
      <c r="I316" s="2"/>
      <c r="J316" s="2"/>
    </row>
    <row r="317">
      <c r="B317" s="87"/>
      <c r="C317" s="2"/>
      <c r="D317" s="2"/>
      <c r="E317" s="2"/>
      <c r="F317" s="2"/>
      <c r="G317" s="2"/>
      <c r="H317" s="2"/>
      <c r="I317" s="2"/>
      <c r="J317" s="2"/>
    </row>
    <row r="318">
      <c r="B318" s="88" t="s">
        <v>685</v>
      </c>
      <c r="C318" s="2"/>
      <c r="D318" s="2"/>
      <c r="E318" s="2"/>
      <c r="F318" s="2"/>
      <c r="G318" s="2"/>
      <c r="H318" s="2"/>
      <c r="I318" s="2"/>
      <c r="J318" s="2"/>
    </row>
    <row r="319">
      <c r="B319" s="87"/>
      <c r="C319" s="2"/>
      <c r="D319" s="2"/>
      <c r="E319" s="2"/>
      <c r="F319" s="2"/>
      <c r="G319" s="2"/>
      <c r="H319" s="2"/>
      <c r="I319" s="2"/>
      <c r="J319" s="2"/>
    </row>
    <row r="320">
      <c r="B320" s="85" t="s">
        <v>686</v>
      </c>
      <c r="C320" s="2"/>
      <c r="D320" s="2"/>
      <c r="E320" s="2"/>
      <c r="F320" s="2"/>
      <c r="G320" s="2"/>
      <c r="H320" s="2"/>
      <c r="I320" s="2"/>
      <c r="J320" s="2"/>
    </row>
    <row r="321">
      <c r="B321" s="83"/>
      <c r="C321" s="2"/>
      <c r="D321" s="2"/>
      <c r="E321" s="2"/>
      <c r="F321" s="2"/>
      <c r="G321" s="2"/>
      <c r="H321" s="2"/>
      <c r="I321" s="2"/>
      <c r="J321" s="2"/>
    </row>
    <row r="322">
      <c r="B322" s="89" t="s">
        <v>687</v>
      </c>
      <c r="C322" s="2"/>
      <c r="D322" s="2"/>
      <c r="E322" s="2"/>
      <c r="F322" s="2"/>
      <c r="G322" s="2"/>
      <c r="H322" s="2"/>
      <c r="I322" s="2"/>
      <c r="J322" s="2"/>
    </row>
    <row r="323">
      <c r="B323" s="83"/>
      <c r="C323" s="2"/>
      <c r="D323" s="2"/>
      <c r="E323" s="2"/>
      <c r="F323" s="2"/>
      <c r="G323" s="2"/>
      <c r="H323" s="2"/>
      <c r="I323" s="2"/>
      <c r="J323" s="2"/>
    </row>
    <row r="324">
      <c r="B324" s="89" t="s">
        <v>688</v>
      </c>
      <c r="C324" s="2"/>
      <c r="D324" s="2"/>
      <c r="E324" s="2"/>
      <c r="F324" s="2"/>
      <c r="G324" s="2"/>
      <c r="H324" s="2"/>
      <c r="I324" s="2"/>
      <c r="J324" s="2"/>
    </row>
    <row r="325">
      <c r="B325" s="83"/>
      <c r="C325" s="2"/>
      <c r="D325" s="2"/>
      <c r="E325" s="2"/>
      <c r="F325" s="2"/>
      <c r="G325" s="2"/>
      <c r="H325" s="2"/>
      <c r="I325" s="2"/>
      <c r="J325" s="2"/>
    </row>
    <row r="326">
      <c r="B326" s="89" t="s">
        <v>689</v>
      </c>
      <c r="C326" s="2"/>
      <c r="D326" s="2"/>
      <c r="E326" s="2"/>
      <c r="F326" s="2"/>
      <c r="G326" s="2"/>
      <c r="H326" s="2"/>
      <c r="I326" s="2"/>
      <c r="J326" s="2"/>
    </row>
    <row r="327">
      <c r="B327" s="83"/>
      <c r="C327" s="2"/>
      <c r="D327" s="2"/>
      <c r="E327" s="2"/>
      <c r="F327" s="2"/>
      <c r="G327" s="2"/>
      <c r="H327" s="2"/>
      <c r="I327" s="2"/>
      <c r="J327" s="2"/>
    </row>
    <row r="328">
      <c r="B328" s="89" t="s">
        <v>690</v>
      </c>
      <c r="C328" s="2"/>
      <c r="D328" s="2"/>
      <c r="E328" s="2"/>
      <c r="F328" s="2"/>
      <c r="G328" s="2"/>
      <c r="H328" s="2"/>
      <c r="I328" s="2"/>
      <c r="J328" s="2"/>
    </row>
    <row r="329">
      <c r="B329" s="83"/>
      <c r="C329" s="2"/>
      <c r="D329" s="2"/>
      <c r="E329" s="2"/>
      <c r="F329" s="2"/>
      <c r="G329" s="2"/>
      <c r="H329" s="2"/>
      <c r="I329" s="2"/>
      <c r="J329" s="2"/>
    </row>
    <row r="330">
      <c r="B330" s="89" t="s">
        <v>691</v>
      </c>
      <c r="C330" s="2"/>
      <c r="D330" s="2"/>
      <c r="E330" s="2"/>
      <c r="F330" s="2"/>
      <c r="G330" s="2"/>
      <c r="H330" s="2"/>
      <c r="I330" s="2"/>
      <c r="J330" s="2"/>
    </row>
    <row r="331">
      <c r="B331" s="83"/>
      <c r="C331" s="2"/>
      <c r="D331" s="2"/>
      <c r="E331" s="2"/>
      <c r="F331" s="2"/>
      <c r="G331" s="2"/>
      <c r="H331" s="2"/>
      <c r="I331" s="2"/>
      <c r="J331" s="2"/>
    </row>
    <row r="332">
      <c r="B332" s="85" t="s">
        <v>692</v>
      </c>
      <c r="C332" s="2"/>
      <c r="D332" s="2"/>
      <c r="E332" s="2"/>
      <c r="F332" s="2"/>
      <c r="G332" s="2"/>
      <c r="H332" s="2"/>
      <c r="I332" s="2"/>
      <c r="J332" s="2"/>
    </row>
    <row r="333">
      <c r="B333" s="83"/>
      <c r="C333" s="2"/>
      <c r="D333" s="2"/>
      <c r="E333" s="2"/>
      <c r="F333" s="2"/>
      <c r="G333" s="2"/>
      <c r="H333" s="2"/>
      <c r="I333" s="2"/>
      <c r="J333" s="2"/>
    </row>
    <row r="334">
      <c r="B334" s="89" t="s">
        <v>693</v>
      </c>
      <c r="C334" s="2"/>
      <c r="D334" s="2"/>
      <c r="E334" s="2"/>
      <c r="F334" s="2"/>
      <c r="G334" s="2"/>
      <c r="H334" s="2"/>
      <c r="I334" s="2"/>
      <c r="J334" s="2"/>
    </row>
    <row r="335">
      <c r="B335" s="83"/>
      <c r="C335" s="2"/>
      <c r="D335" s="2"/>
      <c r="E335" s="2"/>
      <c r="F335" s="2"/>
      <c r="G335" s="2"/>
      <c r="H335" s="2"/>
      <c r="I335" s="2"/>
      <c r="J335" s="2"/>
    </row>
    <row r="336">
      <c r="B336" s="89" t="s">
        <v>694</v>
      </c>
      <c r="C336" s="2"/>
      <c r="D336" s="2"/>
      <c r="E336" s="2"/>
      <c r="F336" s="2"/>
      <c r="G336" s="2"/>
      <c r="H336" s="2"/>
      <c r="I336" s="2"/>
      <c r="J336" s="2"/>
    </row>
    <row r="337">
      <c r="B337" s="83"/>
      <c r="C337" s="2"/>
      <c r="D337" s="2"/>
      <c r="E337" s="2"/>
      <c r="F337" s="2"/>
      <c r="G337" s="2"/>
      <c r="H337" s="2"/>
      <c r="I337" s="2"/>
      <c r="J337" s="2"/>
    </row>
    <row r="338">
      <c r="B338" s="89" t="s">
        <v>695</v>
      </c>
      <c r="C338" s="2"/>
      <c r="D338" s="2"/>
      <c r="E338" s="2"/>
      <c r="F338" s="2"/>
      <c r="G338" s="2"/>
      <c r="H338" s="2"/>
      <c r="I338" s="2"/>
      <c r="J338" s="2"/>
    </row>
    <row r="339">
      <c r="B339" s="83"/>
      <c r="C339" s="2"/>
      <c r="D339" s="2"/>
      <c r="E339" s="2"/>
      <c r="F339" s="2"/>
      <c r="G339" s="2"/>
      <c r="H339" s="2"/>
      <c r="I339" s="2"/>
      <c r="J339" s="2"/>
    </row>
    <row r="340">
      <c r="B340" s="89" t="s">
        <v>696</v>
      </c>
      <c r="C340" s="2"/>
      <c r="D340" s="2"/>
      <c r="E340" s="2"/>
      <c r="F340" s="2"/>
      <c r="G340" s="2"/>
      <c r="H340" s="2"/>
      <c r="I340" s="2"/>
      <c r="J340" s="2"/>
    </row>
    <row r="341">
      <c r="B341" s="83"/>
      <c r="C341" s="2"/>
      <c r="D341" s="2"/>
      <c r="E341" s="2"/>
      <c r="F341" s="2"/>
      <c r="G341" s="2"/>
      <c r="H341" s="2"/>
      <c r="I341" s="2"/>
      <c r="J341" s="2"/>
    </row>
    <row r="342">
      <c r="B342" s="2"/>
      <c r="C342" s="2"/>
      <c r="D342" s="2"/>
      <c r="E342" s="2"/>
      <c r="F342" s="2"/>
      <c r="G342" s="2"/>
      <c r="H342" s="2"/>
      <c r="I342" s="2"/>
      <c r="J342" s="2"/>
    </row>
    <row r="343">
      <c r="B343" s="2"/>
      <c r="C343" s="2"/>
      <c r="D343" s="2"/>
      <c r="E343" s="2"/>
      <c r="F343" s="2"/>
      <c r="G343" s="2"/>
      <c r="H343" s="2"/>
      <c r="I343" s="2"/>
      <c r="J343" s="2"/>
    </row>
    <row r="344">
      <c r="B344" s="2"/>
      <c r="C344" s="2"/>
      <c r="D344" s="2"/>
      <c r="E344" s="2"/>
      <c r="F344" s="2"/>
      <c r="G344" s="2"/>
      <c r="H344" s="2"/>
      <c r="I344" s="2"/>
      <c r="J344" s="2"/>
    </row>
    <row r="345">
      <c r="B345" s="2"/>
      <c r="C345" s="2"/>
      <c r="D345" s="2"/>
      <c r="E345" s="2"/>
      <c r="F345" s="2"/>
      <c r="G345" s="2"/>
      <c r="H345" s="2"/>
      <c r="I345" s="2"/>
      <c r="J345" s="2"/>
    </row>
    <row r="346">
      <c r="B346" s="2"/>
      <c r="C346" s="2"/>
      <c r="D346" s="2"/>
      <c r="E346" s="2"/>
      <c r="F346" s="2"/>
      <c r="G346" s="2"/>
      <c r="H346" s="2"/>
      <c r="I346" s="2"/>
      <c r="J346" s="2"/>
    </row>
    <row r="347">
      <c r="B347" s="2"/>
      <c r="C347" s="2"/>
      <c r="D347" s="2"/>
      <c r="E347" s="2"/>
      <c r="F347" s="2"/>
      <c r="G347" s="2"/>
      <c r="H347" s="2"/>
      <c r="I347" s="2"/>
      <c r="J347" s="2"/>
    </row>
    <row r="348">
      <c r="B348" s="2"/>
      <c r="C348" s="2"/>
      <c r="D348" s="2"/>
      <c r="E348" s="2"/>
      <c r="F348" s="2"/>
      <c r="G348" s="2"/>
      <c r="H348" s="2"/>
      <c r="I348" s="2"/>
      <c r="J348" s="2"/>
    </row>
    <row r="349">
      <c r="B349" s="2"/>
      <c r="C349" s="2"/>
      <c r="D349" s="2"/>
      <c r="E349" s="2"/>
      <c r="F349" s="2"/>
      <c r="G349" s="2"/>
      <c r="H349" s="2"/>
      <c r="I349" s="2"/>
      <c r="J349" s="2"/>
    </row>
    <row r="350">
      <c r="B350" s="2"/>
      <c r="C350" s="2"/>
      <c r="D350" s="2"/>
      <c r="E350" s="2"/>
      <c r="F350" s="2"/>
      <c r="G350" s="2"/>
      <c r="H350" s="2"/>
      <c r="I350" s="2"/>
      <c r="J350" s="2"/>
    </row>
    <row r="351">
      <c r="B351" s="2"/>
      <c r="C351" s="2"/>
      <c r="D351" s="2"/>
      <c r="E351" s="2"/>
      <c r="F351" s="2"/>
      <c r="G351" s="2"/>
      <c r="H351" s="2"/>
      <c r="I351" s="2"/>
      <c r="J351" s="2"/>
    </row>
    <row r="352">
      <c r="B352" s="2"/>
      <c r="C352" s="2"/>
      <c r="D352" s="2"/>
      <c r="E352" s="2"/>
      <c r="F352" s="2"/>
      <c r="G352" s="2"/>
      <c r="H352" s="2"/>
      <c r="I352" s="2"/>
      <c r="J352" s="2"/>
    </row>
    <row r="353">
      <c r="B353" s="2"/>
      <c r="C353" s="2"/>
      <c r="D353" s="2"/>
      <c r="E353" s="2"/>
      <c r="F353" s="2"/>
      <c r="G353" s="2"/>
      <c r="H353" s="2"/>
      <c r="I353" s="2"/>
      <c r="J353" s="2"/>
    </row>
    <row r="354">
      <c r="B354" s="2"/>
      <c r="C354" s="2"/>
      <c r="D354" s="2"/>
      <c r="E354" s="2"/>
      <c r="F354" s="2"/>
      <c r="G354" s="2"/>
      <c r="H354" s="2"/>
      <c r="I354" s="2"/>
      <c r="J354" s="2"/>
    </row>
    <row r="355">
      <c r="B355" s="2"/>
      <c r="C355" s="2"/>
      <c r="D355" s="2"/>
      <c r="E355" s="2"/>
      <c r="F355" s="2"/>
      <c r="G355" s="2"/>
      <c r="H355" s="2"/>
      <c r="I355" s="2"/>
      <c r="J355" s="2"/>
    </row>
    <row r="356">
      <c r="B356" s="2"/>
      <c r="C356" s="2"/>
      <c r="D356" s="2"/>
      <c r="E356" s="2"/>
      <c r="F356" s="2"/>
      <c r="G356" s="2"/>
      <c r="H356" s="2"/>
      <c r="I356" s="2"/>
      <c r="J356" s="2"/>
    </row>
    <row r="357">
      <c r="B357" s="2"/>
      <c r="C357" s="2"/>
      <c r="D357" s="2"/>
      <c r="E357" s="2"/>
      <c r="F357" s="2"/>
      <c r="G357" s="2"/>
      <c r="H357" s="2"/>
      <c r="I357" s="2"/>
      <c r="J357" s="2"/>
    </row>
    <row r="358">
      <c r="B358" s="2"/>
      <c r="C358" s="2"/>
      <c r="D358" s="2"/>
      <c r="E358" s="2"/>
      <c r="F358" s="2"/>
      <c r="G358" s="2"/>
      <c r="H358" s="2"/>
      <c r="I358" s="2"/>
      <c r="J358" s="2"/>
    </row>
    <row r="359">
      <c r="B359" s="2"/>
      <c r="C359" s="2"/>
      <c r="D359" s="2"/>
      <c r="E359" s="2"/>
      <c r="F359" s="2"/>
      <c r="G359" s="2"/>
      <c r="H359" s="2"/>
      <c r="I359" s="2"/>
      <c r="J359" s="2"/>
    </row>
    <row r="360">
      <c r="B360" s="2"/>
      <c r="C360" s="2"/>
      <c r="D360" s="2"/>
      <c r="E360" s="2"/>
      <c r="F360" s="2"/>
      <c r="G360" s="2"/>
      <c r="H360" s="2"/>
      <c r="I360" s="2"/>
      <c r="J360" s="2"/>
    </row>
    <row r="361">
      <c r="B361" s="2"/>
      <c r="C361" s="2"/>
      <c r="D361" s="2"/>
      <c r="E361" s="2"/>
      <c r="F361" s="2"/>
      <c r="G361" s="2"/>
      <c r="H361" s="2"/>
      <c r="I361" s="2"/>
      <c r="J361" s="2"/>
    </row>
    <row r="362">
      <c r="B362" s="2"/>
      <c r="C362" s="2"/>
      <c r="D362" s="2"/>
      <c r="E362" s="2"/>
      <c r="F362" s="2"/>
      <c r="G362" s="2"/>
      <c r="H362" s="2"/>
      <c r="I362" s="2"/>
      <c r="J362" s="2"/>
    </row>
    <row r="363">
      <c r="B363" s="2"/>
      <c r="C363" s="2"/>
      <c r="D363" s="2"/>
      <c r="E363" s="2"/>
      <c r="F363" s="2"/>
      <c r="G363" s="2"/>
      <c r="H363" s="2"/>
      <c r="I363" s="2"/>
      <c r="J363" s="2"/>
    </row>
    <row r="364">
      <c r="B364" s="2"/>
      <c r="C364" s="2"/>
      <c r="D364" s="2"/>
      <c r="E364" s="2"/>
      <c r="F364" s="2"/>
      <c r="G364" s="2"/>
      <c r="H364" s="2"/>
      <c r="I364" s="2"/>
      <c r="J364" s="2"/>
    </row>
    <row r="365">
      <c r="B365" s="2"/>
      <c r="C365" s="2"/>
      <c r="D365" s="2"/>
      <c r="E365" s="2"/>
      <c r="F365" s="2"/>
      <c r="G365" s="2"/>
      <c r="H365" s="2"/>
      <c r="I365" s="2"/>
      <c r="J365" s="2"/>
    </row>
    <row r="366">
      <c r="B366" s="2"/>
      <c r="C366" s="2"/>
      <c r="D366" s="2"/>
      <c r="E366" s="2"/>
      <c r="F366" s="2"/>
      <c r="G366" s="2"/>
      <c r="H366" s="2"/>
      <c r="I366" s="2"/>
      <c r="J366" s="2"/>
    </row>
    <row r="367">
      <c r="B367" s="2"/>
      <c r="C367" s="2"/>
      <c r="D367" s="2"/>
      <c r="E367" s="2"/>
      <c r="F367" s="2"/>
      <c r="G367" s="2"/>
      <c r="H367" s="2"/>
      <c r="I367" s="2"/>
      <c r="J367" s="2"/>
    </row>
    <row r="368">
      <c r="B368" s="2"/>
      <c r="C368" s="2"/>
      <c r="D368" s="2"/>
      <c r="E368" s="2"/>
      <c r="F368" s="2"/>
      <c r="G368" s="2"/>
      <c r="H368" s="2"/>
      <c r="I368" s="2"/>
      <c r="J368" s="2"/>
    </row>
    <row r="369">
      <c r="B369" s="2"/>
      <c r="C369" s="2"/>
      <c r="D369" s="2"/>
      <c r="E369" s="2"/>
      <c r="F369" s="2"/>
      <c r="G369" s="2"/>
      <c r="H369" s="2"/>
      <c r="I369" s="2"/>
      <c r="J369" s="2"/>
    </row>
    <row r="370">
      <c r="B370" s="2"/>
      <c r="C370" s="2"/>
      <c r="D370" s="2"/>
      <c r="E370" s="2"/>
      <c r="F370" s="2"/>
      <c r="G370" s="2"/>
      <c r="H370" s="2"/>
      <c r="I370" s="2"/>
      <c r="J370" s="2"/>
    </row>
    <row r="371">
      <c r="B371" s="2"/>
      <c r="C371" s="2"/>
      <c r="D371" s="2"/>
      <c r="E371" s="2"/>
      <c r="F371" s="2"/>
      <c r="G371" s="2"/>
      <c r="H371" s="2"/>
      <c r="I371" s="2"/>
      <c r="J371" s="2"/>
    </row>
    <row r="372">
      <c r="B372" s="2"/>
      <c r="C372" s="2"/>
      <c r="D372" s="2"/>
      <c r="E372" s="2"/>
      <c r="F372" s="2"/>
      <c r="G372" s="2"/>
      <c r="H372" s="2"/>
      <c r="I372" s="2"/>
      <c r="J372" s="2"/>
    </row>
    <row r="373">
      <c r="B373" s="2"/>
      <c r="C373" s="2"/>
      <c r="D373" s="2"/>
      <c r="E373" s="2"/>
      <c r="F373" s="2"/>
      <c r="G373" s="2"/>
      <c r="H373" s="2"/>
      <c r="I373" s="2"/>
      <c r="J373" s="2"/>
    </row>
    <row r="374">
      <c r="B374" s="2"/>
      <c r="C374" s="2"/>
      <c r="D374" s="2"/>
      <c r="E374" s="2"/>
      <c r="F374" s="2"/>
      <c r="G374" s="2"/>
      <c r="H374" s="2"/>
      <c r="I374" s="2"/>
      <c r="J374" s="2"/>
    </row>
    <row r="375">
      <c r="B375" s="2"/>
      <c r="C375" s="2"/>
      <c r="D375" s="2"/>
      <c r="E375" s="2"/>
      <c r="F375" s="2"/>
      <c r="G375" s="2"/>
      <c r="H375" s="2"/>
      <c r="I375" s="2"/>
      <c r="J375" s="2"/>
    </row>
    <row r="376">
      <c r="B376" s="2"/>
      <c r="C376" s="2"/>
      <c r="D376" s="2"/>
      <c r="E376" s="2"/>
      <c r="F376" s="2"/>
      <c r="G376" s="2"/>
      <c r="H376" s="2"/>
      <c r="I376" s="2"/>
      <c r="J376" s="2"/>
    </row>
    <row r="377">
      <c r="B377" s="2"/>
      <c r="C377" s="2"/>
      <c r="D377" s="2"/>
      <c r="E377" s="2"/>
      <c r="F377" s="2"/>
      <c r="G377" s="2"/>
      <c r="H377" s="2"/>
      <c r="I377" s="2"/>
      <c r="J377" s="2"/>
    </row>
    <row r="378">
      <c r="B378" s="2"/>
      <c r="C378" s="2"/>
      <c r="D378" s="2"/>
      <c r="E378" s="2"/>
      <c r="F378" s="2"/>
      <c r="G378" s="2"/>
      <c r="H378" s="2"/>
      <c r="I378" s="2"/>
      <c r="J378" s="2"/>
    </row>
    <row r="379">
      <c r="B379" s="2"/>
      <c r="C379" s="2"/>
      <c r="D379" s="2"/>
      <c r="E379" s="2"/>
      <c r="F379" s="2"/>
      <c r="G379" s="2"/>
      <c r="H379" s="2"/>
      <c r="I379" s="2"/>
      <c r="J379" s="2"/>
    </row>
    <row r="380">
      <c r="B380" s="2"/>
      <c r="C380" s="2"/>
      <c r="D380" s="2"/>
      <c r="E380" s="2"/>
      <c r="F380" s="2"/>
      <c r="G380" s="2"/>
      <c r="H380" s="2"/>
      <c r="I380" s="2"/>
      <c r="J380" s="2"/>
    </row>
    <row r="381">
      <c r="B381" s="2"/>
      <c r="C381" s="2"/>
      <c r="D381" s="2"/>
      <c r="E381" s="2"/>
      <c r="F381" s="2"/>
      <c r="G381" s="2"/>
      <c r="H381" s="2"/>
      <c r="I381" s="2"/>
      <c r="J381" s="2"/>
    </row>
    <row r="382">
      <c r="B382" s="2"/>
      <c r="C382" s="2"/>
      <c r="D382" s="2"/>
      <c r="E382" s="2"/>
      <c r="F382" s="2"/>
      <c r="G382" s="2"/>
      <c r="H382" s="2"/>
      <c r="I382" s="2"/>
      <c r="J382" s="2"/>
    </row>
    <row r="383">
      <c r="B383" s="2"/>
      <c r="C383" s="2"/>
      <c r="D383" s="2"/>
      <c r="E383" s="2"/>
      <c r="F383" s="2"/>
      <c r="G383" s="2"/>
      <c r="H383" s="2"/>
      <c r="I383" s="2"/>
      <c r="J383" s="2"/>
    </row>
    <row r="384">
      <c r="B384" s="2"/>
      <c r="C384" s="2"/>
      <c r="D384" s="2"/>
      <c r="E384" s="2"/>
      <c r="F384" s="2"/>
      <c r="G384" s="2"/>
      <c r="H384" s="2"/>
      <c r="I384" s="2"/>
      <c r="J384" s="2"/>
    </row>
    <row r="385">
      <c r="B385" s="2"/>
      <c r="C385" s="2"/>
      <c r="D385" s="2"/>
      <c r="E385" s="2"/>
      <c r="F385" s="2"/>
      <c r="G385" s="2"/>
      <c r="H385" s="2"/>
      <c r="I385" s="2"/>
      <c r="J385" s="2"/>
    </row>
    <row r="386">
      <c r="B386" s="2"/>
      <c r="C386" s="2"/>
      <c r="D386" s="2"/>
      <c r="E386" s="2"/>
      <c r="F386" s="2"/>
      <c r="G386" s="2"/>
      <c r="H386" s="2"/>
      <c r="I386" s="2"/>
      <c r="J386" s="2"/>
    </row>
    <row r="387">
      <c r="B387" s="2"/>
      <c r="C387" s="2"/>
      <c r="D387" s="2"/>
      <c r="E387" s="2"/>
      <c r="F387" s="2"/>
      <c r="G387" s="2"/>
      <c r="H387" s="2"/>
      <c r="I387" s="2"/>
      <c r="J387" s="2"/>
    </row>
    <row r="388">
      <c r="B388" s="2"/>
      <c r="C388" s="2"/>
      <c r="D388" s="2"/>
      <c r="E388" s="2"/>
      <c r="F388" s="2"/>
      <c r="G388" s="2"/>
      <c r="H388" s="2"/>
      <c r="I388" s="2"/>
      <c r="J388" s="2"/>
    </row>
    <row r="389">
      <c r="B389" s="2"/>
      <c r="C389" s="2"/>
      <c r="D389" s="2"/>
      <c r="E389" s="2"/>
      <c r="F389" s="2"/>
      <c r="G389" s="2"/>
      <c r="H389" s="2"/>
      <c r="I389" s="2"/>
      <c r="J389" s="2"/>
    </row>
    <row r="390">
      <c r="B390" s="2"/>
      <c r="C390" s="2"/>
      <c r="D390" s="2"/>
      <c r="E390" s="2"/>
      <c r="F390" s="2"/>
      <c r="G390" s="2"/>
      <c r="H390" s="2"/>
      <c r="I390" s="2"/>
      <c r="J390" s="2"/>
    </row>
    <row r="391">
      <c r="B391" s="2"/>
      <c r="C391" s="2"/>
      <c r="D391" s="2"/>
      <c r="E391" s="2"/>
      <c r="F391" s="2"/>
      <c r="G391" s="2"/>
      <c r="H391" s="2"/>
      <c r="I391" s="2"/>
      <c r="J391" s="2"/>
    </row>
    <row r="392">
      <c r="B392" s="2"/>
      <c r="C392" s="2"/>
      <c r="D392" s="2"/>
      <c r="E392" s="2"/>
      <c r="F392" s="2"/>
      <c r="G392" s="2"/>
      <c r="H392" s="2"/>
      <c r="I392" s="2"/>
      <c r="J392" s="2"/>
    </row>
    <row r="393">
      <c r="B393" s="2"/>
      <c r="C393" s="2"/>
      <c r="D393" s="2"/>
      <c r="E393" s="2"/>
      <c r="F393" s="2"/>
      <c r="G393" s="2"/>
      <c r="H393" s="2"/>
      <c r="I393" s="2"/>
      <c r="J393" s="2"/>
    </row>
    <row r="394">
      <c r="B394" s="2"/>
      <c r="C394" s="2"/>
      <c r="D394" s="2"/>
      <c r="E394" s="2"/>
      <c r="F394" s="2"/>
      <c r="G394" s="2"/>
      <c r="H394" s="2"/>
      <c r="I394" s="2"/>
      <c r="J394" s="2"/>
    </row>
    <row r="395">
      <c r="B395" s="2"/>
      <c r="C395" s="2"/>
      <c r="D395" s="2"/>
      <c r="E395" s="2"/>
      <c r="F395" s="2"/>
      <c r="G395" s="2"/>
      <c r="H395" s="2"/>
      <c r="I395" s="2"/>
      <c r="J395" s="2"/>
    </row>
    <row r="396">
      <c r="B396" s="2"/>
      <c r="C396" s="2"/>
      <c r="D396" s="2"/>
      <c r="E396" s="2"/>
      <c r="F396" s="2"/>
      <c r="G396" s="2"/>
      <c r="H396" s="2"/>
      <c r="I396" s="2"/>
      <c r="J396" s="2"/>
    </row>
    <row r="397">
      <c r="B397" s="2"/>
      <c r="C397" s="2"/>
      <c r="D397" s="2"/>
      <c r="E397" s="2"/>
      <c r="F397" s="2"/>
      <c r="G397" s="2"/>
      <c r="H397" s="2"/>
      <c r="I397" s="2"/>
      <c r="J397" s="2"/>
    </row>
    <row r="398">
      <c r="B398" s="2"/>
      <c r="C398" s="2"/>
      <c r="D398" s="2"/>
      <c r="E398" s="2"/>
      <c r="F398" s="2"/>
      <c r="G398" s="2"/>
      <c r="H398" s="2"/>
      <c r="I398" s="2"/>
      <c r="J398" s="2"/>
    </row>
    <row r="399">
      <c r="B399" s="2"/>
      <c r="C399" s="2"/>
      <c r="D399" s="2"/>
      <c r="E399" s="2"/>
      <c r="F399" s="2"/>
      <c r="G399" s="2"/>
      <c r="H399" s="2"/>
      <c r="I399" s="2"/>
      <c r="J399" s="2"/>
    </row>
    <row r="400">
      <c r="B400" s="2"/>
      <c r="C400" s="2"/>
      <c r="D400" s="2"/>
      <c r="E400" s="2"/>
      <c r="F400" s="2"/>
      <c r="G400" s="2"/>
      <c r="H400" s="2"/>
      <c r="I400" s="2"/>
      <c r="J400" s="2"/>
    </row>
    <row r="401">
      <c r="B401" s="2"/>
      <c r="C401" s="2"/>
      <c r="D401" s="2"/>
      <c r="E401" s="2"/>
      <c r="F401" s="2"/>
      <c r="G401" s="2"/>
      <c r="H401" s="2"/>
      <c r="I401" s="2"/>
      <c r="J401" s="2"/>
    </row>
    <row r="402">
      <c r="B402" s="2"/>
      <c r="C402" s="2"/>
      <c r="D402" s="2"/>
      <c r="E402" s="2"/>
      <c r="F402" s="2"/>
      <c r="G402" s="2"/>
      <c r="H402" s="2"/>
      <c r="I402" s="2"/>
      <c r="J402" s="2"/>
    </row>
    <row r="403">
      <c r="B403" s="2"/>
      <c r="C403" s="2"/>
      <c r="D403" s="2"/>
      <c r="E403" s="2"/>
      <c r="F403" s="2"/>
      <c r="G403" s="2"/>
      <c r="H403" s="2"/>
      <c r="I403" s="2"/>
      <c r="J403" s="2"/>
    </row>
    <row r="404">
      <c r="B404" s="2"/>
      <c r="C404" s="2"/>
      <c r="D404" s="2"/>
      <c r="E404" s="2"/>
      <c r="F404" s="2"/>
      <c r="G404" s="2"/>
      <c r="H404" s="2"/>
      <c r="I404" s="2"/>
      <c r="J404" s="2"/>
    </row>
    <row r="405">
      <c r="B405" s="2"/>
      <c r="C405" s="2"/>
      <c r="D405" s="2"/>
      <c r="E405" s="2"/>
      <c r="F405" s="2"/>
      <c r="G405" s="2"/>
      <c r="H405" s="2"/>
      <c r="I405" s="2"/>
      <c r="J405" s="2"/>
    </row>
    <row r="406">
      <c r="B406" s="2"/>
      <c r="C406" s="2"/>
      <c r="D406" s="2"/>
      <c r="E406" s="2"/>
      <c r="F406" s="2"/>
      <c r="G406" s="2"/>
      <c r="H406" s="2"/>
      <c r="I406" s="2"/>
      <c r="J406" s="2"/>
    </row>
    <row r="407">
      <c r="B407" s="2"/>
      <c r="C407" s="2"/>
      <c r="D407" s="2"/>
      <c r="E407" s="2"/>
      <c r="F407" s="2"/>
      <c r="G407" s="2"/>
      <c r="H407" s="2"/>
      <c r="I407" s="2"/>
      <c r="J407" s="2"/>
    </row>
    <row r="408">
      <c r="B408" s="2"/>
      <c r="C408" s="2"/>
      <c r="D408" s="2"/>
      <c r="E408" s="2"/>
      <c r="F408" s="2"/>
      <c r="G408" s="2"/>
      <c r="H408" s="2"/>
      <c r="I408" s="2"/>
      <c r="J408" s="2"/>
    </row>
    <row r="409">
      <c r="B409" s="2"/>
      <c r="C409" s="2"/>
      <c r="D409" s="2"/>
      <c r="E409" s="2"/>
      <c r="F409" s="2"/>
      <c r="G409" s="2"/>
      <c r="H409" s="2"/>
      <c r="I409" s="2"/>
      <c r="J409" s="2"/>
    </row>
    <row r="410">
      <c r="B410" s="2"/>
      <c r="C410" s="2"/>
      <c r="D410" s="2"/>
      <c r="E410" s="2"/>
      <c r="F410" s="2"/>
      <c r="G410" s="2"/>
      <c r="H410" s="2"/>
      <c r="I410" s="2"/>
      <c r="J410" s="2"/>
    </row>
    <row r="411">
      <c r="B411" s="2"/>
      <c r="C411" s="2"/>
      <c r="D411" s="2"/>
      <c r="E411" s="2"/>
      <c r="F411" s="2"/>
      <c r="G411" s="2"/>
      <c r="H411" s="2"/>
      <c r="I411" s="2"/>
      <c r="J411" s="2"/>
    </row>
    <row r="412">
      <c r="B412" s="2"/>
      <c r="C412" s="2"/>
      <c r="D412" s="2"/>
      <c r="E412" s="2"/>
      <c r="F412" s="2"/>
      <c r="G412" s="2"/>
      <c r="H412" s="2"/>
      <c r="I412" s="2"/>
      <c r="J412" s="2"/>
    </row>
    <row r="413">
      <c r="B413" s="2"/>
      <c r="C413" s="2"/>
      <c r="D413" s="2"/>
      <c r="E413" s="2"/>
      <c r="F413" s="2"/>
      <c r="G413" s="2"/>
      <c r="H413" s="2"/>
      <c r="I413" s="2"/>
      <c r="J413" s="2"/>
    </row>
    <row r="414">
      <c r="B414" s="2"/>
      <c r="C414" s="2"/>
      <c r="D414" s="2"/>
      <c r="E414" s="2"/>
      <c r="F414" s="2"/>
      <c r="G414" s="2"/>
      <c r="H414" s="2"/>
      <c r="I414" s="2"/>
      <c r="J414" s="2"/>
    </row>
    <row r="415">
      <c r="B415" s="2"/>
      <c r="C415" s="2"/>
      <c r="D415" s="2"/>
      <c r="E415" s="2"/>
      <c r="F415" s="2"/>
      <c r="G415" s="2"/>
      <c r="H415" s="2"/>
      <c r="I415" s="2"/>
      <c r="J415" s="2"/>
    </row>
    <row r="416">
      <c r="B416" s="2"/>
      <c r="C416" s="2"/>
      <c r="D416" s="2"/>
      <c r="E416" s="2"/>
      <c r="F416" s="2"/>
      <c r="G416" s="2"/>
      <c r="H416" s="2"/>
      <c r="I416" s="2"/>
      <c r="J416" s="2"/>
    </row>
    <row r="417">
      <c r="B417" s="2"/>
      <c r="C417" s="2"/>
      <c r="D417" s="2"/>
      <c r="E417" s="2"/>
      <c r="F417" s="2"/>
      <c r="G417" s="2"/>
      <c r="H417" s="2"/>
      <c r="I417" s="2"/>
      <c r="J417" s="2"/>
    </row>
    <row r="418">
      <c r="B418" s="2"/>
      <c r="C418" s="2"/>
      <c r="D418" s="2"/>
      <c r="E418" s="2"/>
      <c r="F418" s="2"/>
      <c r="G418" s="2"/>
      <c r="H418" s="2"/>
      <c r="I418" s="2"/>
      <c r="J418" s="2"/>
    </row>
    <row r="419">
      <c r="B419" s="2"/>
      <c r="C419" s="2"/>
      <c r="D419" s="2"/>
      <c r="E419" s="2"/>
      <c r="F419" s="2"/>
      <c r="G419" s="2"/>
      <c r="H419" s="2"/>
      <c r="I419" s="2"/>
      <c r="J419" s="2"/>
    </row>
    <row r="420">
      <c r="B420" s="2"/>
      <c r="C420" s="2"/>
      <c r="D420" s="2"/>
      <c r="E420" s="2"/>
      <c r="F420" s="2"/>
      <c r="G420" s="2"/>
      <c r="H420" s="2"/>
      <c r="I420" s="2"/>
      <c r="J420" s="2"/>
    </row>
    <row r="421">
      <c r="B421" s="2"/>
      <c r="C421" s="2"/>
      <c r="D421" s="2"/>
      <c r="E421" s="2"/>
      <c r="F421" s="2"/>
      <c r="G421" s="2"/>
      <c r="H421" s="2"/>
      <c r="I421" s="2"/>
      <c r="J421" s="2"/>
    </row>
    <row r="422">
      <c r="B422" s="2"/>
      <c r="C422" s="2"/>
      <c r="D422" s="2"/>
      <c r="E422" s="2"/>
      <c r="F422" s="2"/>
      <c r="G422" s="2"/>
      <c r="H422" s="2"/>
      <c r="I422" s="2"/>
      <c r="J422" s="2"/>
    </row>
    <row r="423">
      <c r="B423" s="2"/>
      <c r="C423" s="2"/>
      <c r="D423" s="2"/>
      <c r="E423" s="2"/>
      <c r="F423" s="2"/>
      <c r="G423" s="2"/>
      <c r="H423" s="2"/>
      <c r="I423" s="2"/>
      <c r="J423" s="2"/>
    </row>
    <row r="424">
      <c r="B424" s="2"/>
      <c r="C424" s="2"/>
      <c r="D424" s="2"/>
      <c r="E424" s="2"/>
      <c r="F424" s="2"/>
      <c r="G424" s="2"/>
      <c r="H424" s="2"/>
      <c r="I424" s="2"/>
      <c r="J424" s="2"/>
    </row>
    <row r="425">
      <c r="B425" s="2"/>
      <c r="C425" s="2"/>
      <c r="D425" s="2"/>
      <c r="E425" s="2"/>
      <c r="F425" s="2"/>
      <c r="G425" s="2"/>
      <c r="H425" s="2"/>
      <c r="I425" s="2"/>
      <c r="J425" s="2"/>
    </row>
    <row r="426">
      <c r="B426" s="2"/>
      <c r="C426" s="2"/>
      <c r="D426" s="2"/>
      <c r="E426" s="2"/>
      <c r="F426" s="2"/>
      <c r="G426" s="2"/>
      <c r="H426" s="2"/>
      <c r="I426" s="2"/>
      <c r="J426" s="2"/>
    </row>
    <row r="427">
      <c r="B427" s="2"/>
      <c r="C427" s="2"/>
      <c r="D427" s="2"/>
      <c r="E427" s="2"/>
      <c r="F427" s="2"/>
      <c r="G427" s="2"/>
      <c r="H427" s="2"/>
      <c r="I427" s="2"/>
      <c r="J427" s="2"/>
    </row>
    <row r="428">
      <c r="B428" s="2"/>
      <c r="C428" s="2"/>
      <c r="D428" s="2"/>
      <c r="E428" s="2"/>
      <c r="F428" s="2"/>
      <c r="G428" s="2"/>
      <c r="H428" s="2"/>
      <c r="I428" s="2"/>
      <c r="J428" s="2"/>
    </row>
    <row r="429">
      <c r="B429" s="2"/>
      <c r="C429" s="2"/>
      <c r="D429" s="2"/>
      <c r="E429" s="2"/>
      <c r="F429" s="2"/>
      <c r="G429" s="2"/>
      <c r="H429" s="2"/>
      <c r="I429" s="2"/>
      <c r="J429" s="2"/>
    </row>
    <row r="430">
      <c r="B430" s="2"/>
      <c r="C430" s="2"/>
      <c r="D430" s="2"/>
      <c r="E430" s="2"/>
      <c r="F430" s="2"/>
      <c r="G430" s="2"/>
      <c r="H430" s="2"/>
      <c r="I430" s="2"/>
      <c r="J430" s="2"/>
    </row>
    <row r="431">
      <c r="B431" s="2"/>
      <c r="C431" s="2"/>
      <c r="D431" s="2"/>
      <c r="E431" s="2"/>
      <c r="F431" s="2"/>
      <c r="G431" s="2"/>
      <c r="H431" s="2"/>
      <c r="I431" s="2"/>
      <c r="J431" s="2"/>
    </row>
    <row r="432">
      <c r="B432" s="2"/>
      <c r="C432" s="2"/>
      <c r="D432" s="2"/>
      <c r="E432" s="2"/>
      <c r="F432" s="2"/>
      <c r="G432" s="2"/>
      <c r="H432" s="2"/>
      <c r="I432" s="2"/>
      <c r="J432" s="2"/>
    </row>
    <row r="433">
      <c r="B433" s="2"/>
      <c r="C433" s="2"/>
      <c r="D433" s="2"/>
      <c r="E433" s="2"/>
      <c r="F433" s="2"/>
      <c r="G433" s="2"/>
      <c r="H433" s="2"/>
      <c r="I433" s="2"/>
      <c r="J433" s="2"/>
    </row>
    <row r="434">
      <c r="B434" s="2"/>
      <c r="C434" s="2"/>
      <c r="D434" s="2"/>
      <c r="E434" s="2"/>
      <c r="F434" s="2"/>
      <c r="G434" s="2"/>
      <c r="H434" s="2"/>
      <c r="I434" s="2"/>
      <c r="J434" s="2"/>
    </row>
    <row r="435">
      <c r="B435" s="2"/>
      <c r="C435" s="2"/>
      <c r="D435" s="2"/>
      <c r="E435" s="2"/>
      <c r="F435" s="2"/>
      <c r="G435" s="2"/>
      <c r="H435" s="2"/>
      <c r="I435" s="2"/>
      <c r="J435" s="2"/>
    </row>
    <row r="436">
      <c r="B436" s="2"/>
      <c r="C436" s="2"/>
      <c r="D436" s="2"/>
      <c r="E436" s="2"/>
      <c r="F436" s="2"/>
      <c r="G436" s="2"/>
      <c r="H436" s="2"/>
      <c r="I436" s="2"/>
      <c r="J436" s="2"/>
    </row>
    <row r="437">
      <c r="B437" s="2"/>
      <c r="C437" s="2"/>
      <c r="D437" s="2"/>
      <c r="E437" s="2"/>
      <c r="F437" s="2"/>
      <c r="G437" s="2"/>
      <c r="H437" s="2"/>
      <c r="I437" s="2"/>
      <c r="J437" s="2"/>
    </row>
    <row r="438">
      <c r="B438" s="2"/>
      <c r="C438" s="2"/>
      <c r="D438" s="2"/>
      <c r="E438" s="2"/>
      <c r="F438" s="2"/>
      <c r="G438" s="2"/>
      <c r="H438" s="2"/>
      <c r="I438" s="2"/>
      <c r="J438" s="2"/>
    </row>
    <row r="439">
      <c r="B439" s="2"/>
      <c r="C439" s="2"/>
      <c r="D439" s="2"/>
      <c r="E439" s="2"/>
      <c r="F439" s="2"/>
      <c r="G439" s="2"/>
      <c r="H439" s="2"/>
      <c r="I439" s="2"/>
      <c r="J439" s="2"/>
    </row>
    <row r="440">
      <c r="B440" s="2"/>
      <c r="C440" s="2"/>
      <c r="D440" s="2"/>
      <c r="E440" s="2"/>
      <c r="F440" s="2"/>
      <c r="G440" s="2"/>
      <c r="H440" s="2"/>
      <c r="I440" s="2"/>
      <c r="J440" s="2"/>
    </row>
    <row r="441">
      <c r="B441" s="2"/>
      <c r="C441" s="2"/>
      <c r="D441" s="2"/>
      <c r="E441" s="2"/>
      <c r="F441" s="2"/>
      <c r="G441" s="2"/>
      <c r="H441" s="2"/>
      <c r="I441" s="2"/>
      <c r="J441" s="2"/>
    </row>
    <row r="442">
      <c r="B442" s="2"/>
      <c r="C442" s="2"/>
      <c r="D442" s="2"/>
      <c r="E442" s="2"/>
      <c r="F442" s="2"/>
      <c r="G442" s="2"/>
      <c r="H442" s="2"/>
      <c r="I442" s="2"/>
      <c r="J442" s="2"/>
    </row>
    <row r="443">
      <c r="B443" s="2"/>
      <c r="C443" s="2"/>
      <c r="D443" s="2"/>
      <c r="E443" s="2"/>
      <c r="F443" s="2"/>
      <c r="G443" s="2"/>
      <c r="H443" s="2"/>
      <c r="I443" s="2"/>
      <c r="J443" s="2"/>
    </row>
    <row r="444">
      <c r="B444" s="2"/>
      <c r="C444" s="2"/>
      <c r="D444" s="2"/>
      <c r="E444" s="2"/>
      <c r="F444" s="2"/>
      <c r="G444" s="2"/>
      <c r="H444" s="2"/>
      <c r="I444" s="2"/>
      <c r="J444" s="2"/>
    </row>
    <row r="445">
      <c r="B445" s="2"/>
      <c r="C445" s="2"/>
      <c r="D445" s="2"/>
      <c r="E445" s="2"/>
      <c r="F445" s="2"/>
      <c r="G445" s="2"/>
      <c r="H445" s="2"/>
      <c r="I445" s="2"/>
      <c r="J445" s="2"/>
    </row>
    <row r="446">
      <c r="B446" s="2"/>
      <c r="C446" s="2"/>
      <c r="D446" s="2"/>
      <c r="E446" s="2"/>
      <c r="F446" s="2"/>
      <c r="G446" s="2"/>
      <c r="H446" s="2"/>
      <c r="I446" s="2"/>
      <c r="J446" s="2"/>
    </row>
    <row r="447">
      <c r="B447" s="2"/>
      <c r="C447" s="2"/>
      <c r="D447" s="2"/>
      <c r="E447" s="2"/>
      <c r="F447" s="2"/>
      <c r="G447" s="2"/>
      <c r="H447" s="2"/>
      <c r="I447" s="2"/>
      <c r="J447" s="2"/>
    </row>
    <row r="448">
      <c r="B448" s="2"/>
      <c r="C448" s="2"/>
      <c r="D448" s="2"/>
      <c r="E448" s="2"/>
      <c r="F448" s="2"/>
      <c r="G448" s="2"/>
      <c r="H448" s="2"/>
      <c r="I448" s="2"/>
      <c r="J448" s="2"/>
    </row>
    <row r="449">
      <c r="B449" s="2"/>
      <c r="C449" s="2"/>
      <c r="D449" s="2"/>
      <c r="E449" s="2"/>
      <c r="F449" s="2"/>
      <c r="G449" s="2"/>
      <c r="H449" s="2"/>
      <c r="I449" s="2"/>
      <c r="J449" s="2"/>
    </row>
    <row r="450">
      <c r="B450" s="2"/>
      <c r="C450" s="2"/>
      <c r="D450" s="2"/>
      <c r="E450" s="2"/>
      <c r="F450" s="2"/>
      <c r="G450" s="2"/>
      <c r="H450" s="2"/>
      <c r="I450" s="2"/>
      <c r="J450" s="2"/>
    </row>
    <row r="451">
      <c r="B451" s="2"/>
      <c r="C451" s="2"/>
      <c r="D451" s="2"/>
      <c r="E451" s="2"/>
      <c r="F451" s="2"/>
      <c r="G451" s="2"/>
      <c r="H451" s="2"/>
      <c r="I451" s="2"/>
      <c r="J451" s="2"/>
    </row>
    <row r="452">
      <c r="B452" s="2"/>
      <c r="C452" s="2"/>
      <c r="D452" s="2"/>
      <c r="E452" s="2"/>
      <c r="F452" s="2"/>
      <c r="G452" s="2"/>
      <c r="H452" s="2"/>
      <c r="I452" s="2"/>
      <c r="J452" s="2"/>
    </row>
    <row r="453">
      <c r="B453" s="2"/>
      <c r="C453" s="2"/>
      <c r="D453" s="2"/>
      <c r="E453" s="2"/>
      <c r="F453" s="2"/>
      <c r="G453" s="2"/>
      <c r="H453" s="2"/>
      <c r="I453" s="2"/>
      <c r="J453" s="2"/>
    </row>
    <row r="454">
      <c r="B454" s="2"/>
      <c r="C454" s="2"/>
      <c r="D454" s="2"/>
      <c r="E454" s="2"/>
      <c r="F454" s="2"/>
      <c r="G454" s="2"/>
      <c r="H454" s="2"/>
      <c r="I454" s="2"/>
      <c r="J454" s="2"/>
    </row>
    <row r="455">
      <c r="B455" s="2"/>
      <c r="C455" s="2"/>
      <c r="D455" s="2"/>
      <c r="E455" s="2"/>
      <c r="F455" s="2"/>
      <c r="G455" s="2"/>
      <c r="H455" s="2"/>
      <c r="I455" s="2"/>
      <c r="J455" s="2"/>
    </row>
    <row r="456">
      <c r="B456" s="2"/>
      <c r="C456" s="2"/>
      <c r="D456" s="2"/>
      <c r="E456" s="2"/>
      <c r="F456" s="2"/>
      <c r="G456" s="2"/>
      <c r="H456" s="2"/>
      <c r="I456" s="2"/>
      <c r="J456" s="2"/>
    </row>
    <row r="457">
      <c r="B457" s="2"/>
      <c r="C457" s="2"/>
      <c r="D457" s="2"/>
      <c r="E457" s="2"/>
      <c r="F457" s="2"/>
      <c r="G457" s="2"/>
      <c r="H457" s="2"/>
      <c r="I457" s="2"/>
      <c r="J457" s="2"/>
    </row>
    <row r="458">
      <c r="B458" s="2"/>
      <c r="C458" s="2"/>
      <c r="D458" s="2"/>
      <c r="E458" s="2"/>
      <c r="F458" s="2"/>
      <c r="G458" s="2"/>
      <c r="H458" s="2"/>
      <c r="I458" s="2"/>
      <c r="J458" s="2"/>
    </row>
    <row r="459">
      <c r="B459" s="2"/>
      <c r="C459" s="2"/>
      <c r="D459" s="2"/>
      <c r="E459" s="2"/>
      <c r="F459" s="2"/>
      <c r="G459" s="2"/>
      <c r="H459" s="2"/>
      <c r="I459" s="2"/>
      <c r="J459" s="2"/>
    </row>
    <row r="460">
      <c r="B460" s="2"/>
      <c r="C460" s="2"/>
      <c r="D460" s="2"/>
      <c r="E460" s="2"/>
      <c r="F460" s="2"/>
      <c r="G460" s="2"/>
      <c r="H460" s="2"/>
      <c r="I460" s="2"/>
      <c r="J460" s="2"/>
    </row>
    <row r="461">
      <c r="B461" s="2"/>
      <c r="C461" s="2"/>
      <c r="D461" s="2"/>
      <c r="E461" s="2"/>
      <c r="F461" s="2"/>
      <c r="G461" s="2"/>
      <c r="H461" s="2"/>
      <c r="I461" s="2"/>
      <c r="J461" s="2"/>
    </row>
    <row r="462">
      <c r="B462" s="2"/>
      <c r="C462" s="2"/>
      <c r="D462" s="2"/>
      <c r="E462" s="2"/>
      <c r="F462" s="2"/>
      <c r="G462" s="2"/>
      <c r="H462" s="2"/>
      <c r="I462" s="2"/>
      <c r="J462" s="2"/>
    </row>
    <row r="463">
      <c r="B463" s="2"/>
      <c r="C463" s="2"/>
      <c r="D463" s="2"/>
      <c r="E463" s="2"/>
      <c r="F463" s="2"/>
      <c r="G463" s="2"/>
      <c r="H463" s="2"/>
      <c r="I463" s="2"/>
      <c r="J463" s="2"/>
    </row>
    <row r="464">
      <c r="B464" s="2"/>
      <c r="C464" s="2"/>
      <c r="D464" s="2"/>
      <c r="E464" s="2"/>
      <c r="F464" s="2"/>
      <c r="G464" s="2"/>
      <c r="H464" s="2"/>
      <c r="I464" s="2"/>
      <c r="J464" s="2"/>
    </row>
    <row r="465">
      <c r="B465" s="2"/>
      <c r="C465" s="2"/>
      <c r="D465" s="2"/>
      <c r="E465" s="2"/>
      <c r="F465" s="2"/>
      <c r="G465" s="2"/>
      <c r="H465" s="2"/>
      <c r="I465" s="2"/>
      <c r="J465" s="2"/>
    </row>
    <row r="466">
      <c r="B466" s="2"/>
      <c r="C466" s="2"/>
      <c r="D466" s="2"/>
      <c r="E466" s="2"/>
      <c r="F466" s="2"/>
      <c r="G466" s="2"/>
      <c r="H466" s="2"/>
      <c r="I466" s="2"/>
      <c r="J466" s="2"/>
    </row>
    <row r="467">
      <c r="B467" s="2"/>
      <c r="C467" s="2"/>
      <c r="D467" s="2"/>
      <c r="E467" s="2"/>
      <c r="F467" s="2"/>
      <c r="G467" s="2"/>
      <c r="H467" s="2"/>
      <c r="I467" s="2"/>
      <c r="J467" s="2"/>
    </row>
    <row r="468">
      <c r="B468" s="2"/>
      <c r="C468" s="2"/>
      <c r="D468" s="2"/>
      <c r="E468" s="2"/>
      <c r="F468" s="2"/>
      <c r="G468" s="2"/>
      <c r="H468" s="2"/>
      <c r="I468" s="2"/>
      <c r="J468" s="2"/>
    </row>
    <row r="469">
      <c r="B469" s="2"/>
      <c r="C469" s="2"/>
      <c r="D469" s="2"/>
      <c r="E469" s="2"/>
      <c r="F469" s="2"/>
      <c r="G469" s="2"/>
      <c r="H469" s="2"/>
      <c r="I469" s="2"/>
      <c r="J469" s="2"/>
    </row>
    <row r="470">
      <c r="B470" s="2"/>
      <c r="C470" s="2"/>
      <c r="D470" s="2"/>
      <c r="E470" s="2"/>
      <c r="F470" s="2"/>
      <c r="G470" s="2"/>
      <c r="H470" s="2"/>
      <c r="I470" s="2"/>
      <c r="J470" s="2"/>
    </row>
    <row r="471">
      <c r="B471" s="2"/>
      <c r="C471" s="2"/>
      <c r="D471" s="2"/>
      <c r="E471" s="2"/>
      <c r="F471" s="2"/>
      <c r="G471" s="2"/>
      <c r="H471" s="2"/>
      <c r="I471" s="2"/>
      <c r="J471" s="2"/>
    </row>
    <row r="472">
      <c r="B472" s="2"/>
      <c r="C472" s="2"/>
      <c r="D472" s="2"/>
      <c r="E472" s="2"/>
      <c r="F472" s="2"/>
      <c r="G472" s="2"/>
      <c r="H472" s="2"/>
      <c r="I472" s="2"/>
      <c r="J472" s="2"/>
    </row>
    <row r="473">
      <c r="B473" s="2"/>
      <c r="C473" s="2"/>
      <c r="D473" s="2"/>
      <c r="E473" s="2"/>
      <c r="F473" s="2"/>
      <c r="G473" s="2"/>
      <c r="H473" s="2"/>
      <c r="I473" s="2"/>
      <c r="J473" s="2"/>
    </row>
    <row r="474">
      <c r="B474" s="2"/>
      <c r="C474" s="2"/>
      <c r="D474" s="2"/>
      <c r="E474" s="2"/>
      <c r="F474" s="2"/>
      <c r="G474" s="2"/>
      <c r="H474" s="2"/>
      <c r="I474" s="2"/>
      <c r="J474" s="2"/>
    </row>
    <row r="475">
      <c r="B475" s="2"/>
      <c r="C475" s="2"/>
      <c r="D475" s="2"/>
      <c r="E475" s="2"/>
      <c r="F475" s="2"/>
      <c r="G475" s="2"/>
      <c r="H475" s="2"/>
      <c r="I475" s="2"/>
      <c r="J475" s="2"/>
    </row>
    <row r="476">
      <c r="B476" s="2"/>
      <c r="C476" s="2"/>
      <c r="D476" s="2"/>
      <c r="E476" s="2"/>
      <c r="F476" s="2"/>
      <c r="G476" s="2"/>
      <c r="H476" s="2"/>
      <c r="I476" s="2"/>
      <c r="J476" s="2"/>
    </row>
    <row r="477">
      <c r="B477" s="2"/>
      <c r="C477" s="2"/>
      <c r="D477" s="2"/>
      <c r="E477" s="2"/>
      <c r="F477" s="2"/>
      <c r="G477" s="2"/>
      <c r="H477" s="2"/>
      <c r="I477" s="2"/>
      <c r="J477" s="2"/>
    </row>
    <row r="478">
      <c r="B478" s="2"/>
      <c r="C478" s="2"/>
      <c r="D478" s="2"/>
      <c r="E478" s="2"/>
      <c r="F478" s="2"/>
      <c r="G478" s="2"/>
      <c r="H478" s="2"/>
      <c r="I478" s="2"/>
      <c r="J478" s="2"/>
    </row>
    <row r="479">
      <c r="B479" s="2"/>
      <c r="C479" s="2"/>
      <c r="D479" s="2"/>
      <c r="E479" s="2"/>
      <c r="F479" s="2"/>
      <c r="G479" s="2"/>
      <c r="H479" s="2"/>
      <c r="I479" s="2"/>
      <c r="J479" s="2"/>
    </row>
    <row r="480">
      <c r="B480" s="2"/>
      <c r="C480" s="2"/>
      <c r="D480" s="2"/>
      <c r="E480" s="2"/>
      <c r="F480" s="2"/>
      <c r="G480" s="2"/>
      <c r="H480" s="2"/>
      <c r="I480" s="2"/>
      <c r="J480" s="2"/>
    </row>
    <row r="481">
      <c r="B481" s="2"/>
      <c r="C481" s="2"/>
      <c r="D481" s="2"/>
      <c r="E481" s="2"/>
      <c r="F481" s="2"/>
      <c r="G481" s="2"/>
      <c r="H481" s="2"/>
      <c r="I481" s="2"/>
      <c r="J481" s="2"/>
    </row>
    <row r="482">
      <c r="B482" s="2"/>
      <c r="C482" s="2"/>
      <c r="D482" s="2"/>
      <c r="E482" s="2"/>
      <c r="F482" s="2"/>
      <c r="G482" s="2"/>
      <c r="H482" s="2"/>
      <c r="I482" s="2"/>
      <c r="J482" s="2"/>
    </row>
    <row r="483">
      <c r="B483" s="2"/>
      <c r="C483" s="2"/>
      <c r="D483" s="2"/>
      <c r="E483" s="2"/>
      <c r="F483" s="2"/>
      <c r="G483" s="2"/>
      <c r="H483" s="2"/>
      <c r="I483" s="2"/>
      <c r="J483" s="2"/>
    </row>
    <row r="484">
      <c r="B484" s="2"/>
      <c r="C484" s="2"/>
      <c r="D484" s="2"/>
      <c r="E484" s="2"/>
      <c r="F484" s="2"/>
      <c r="G484" s="2"/>
      <c r="H484" s="2"/>
      <c r="I484" s="2"/>
      <c r="J484" s="2"/>
    </row>
    <row r="485">
      <c r="B485" s="2"/>
      <c r="C485" s="2"/>
      <c r="D485" s="2"/>
      <c r="E485" s="2"/>
      <c r="F485" s="2"/>
      <c r="G485" s="2"/>
      <c r="H485" s="2"/>
      <c r="I485" s="2"/>
      <c r="J485" s="2"/>
    </row>
    <row r="486">
      <c r="B486" s="2"/>
      <c r="C486" s="2"/>
      <c r="D486" s="2"/>
      <c r="E486" s="2"/>
      <c r="F486" s="2"/>
      <c r="G486" s="2"/>
      <c r="H486" s="2"/>
      <c r="I486" s="2"/>
      <c r="J486" s="2"/>
    </row>
    <row r="487">
      <c r="B487" s="2"/>
      <c r="C487" s="2"/>
      <c r="D487" s="2"/>
      <c r="E487" s="2"/>
      <c r="F487" s="2"/>
      <c r="G487" s="2"/>
      <c r="H487" s="2"/>
      <c r="I487" s="2"/>
      <c r="J487" s="2"/>
    </row>
    <row r="488">
      <c r="B488" s="2"/>
      <c r="C488" s="2"/>
      <c r="D488" s="2"/>
      <c r="E488" s="2"/>
      <c r="F488" s="2"/>
      <c r="G488" s="2"/>
      <c r="H488" s="2"/>
      <c r="I488" s="2"/>
      <c r="J488" s="2"/>
    </row>
    <row r="489">
      <c r="B489" s="2"/>
      <c r="C489" s="2"/>
      <c r="D489" s="2"/>
      <c r="E489" s="2"/>
      <c r="F489" s="2"/>
      <c r="G489" s="2"/>
      <c r="H489" s="2"/>
      <c r="I489" s="2"/>
      <c r="J489" s="2"/>
    </row>
    <row r="490">
      <c r="B490" s="2"/>
      <c r="C490" s="2"/>
      <c r="D490" s="2"/>
      <c r="E490" s="2"/>
      <c r="F490" s="2"/>
      <c r="G490" s="2"/>
      <c r="H490" s="2"/>
      <c r="I490" s="2"/>
      <c r="J490" s="2"/>
    </row>
    <row r="491">
      <c r="B491" s="2"/>
      <c r="C491" s="2"/>
      <c r="D491" s="2"/>
      <c r="E491" s="2"/>
      <c r="F491" s="2"/>
      <c r="G491" s="2"/>
      <c r="H491" s="2"/>
      <c r="I491" s="2"/>
      <c r="J491" s="2"/>
    </row>
    <row r="492">
      <c r="B492" s="2"/>
      <c r="C492" s="2"/>
      <c r="D492" s="2"/>
      <c r="E492" s="2"/>
      <c r="F492" s="2"/>
      <c r="G492" s="2"/>
      <c r="H492" s="2"/>
      <c r="I492" s="2"/>
      <c r="J492" s="2"/>
    </row>
    <row r="493">
      <c r="B493" s="2"/>
      <c r="C493" s="2"/>
      <c r="D493" s="2"/>
      <c r="E493" s="2"/>
      <c r="F493" s="2"/>
      <c r="G493" s="2"/>
      <c r="H493" s="2"/>
      <c r="I493" s="2"/>
      <c r="J493" s="2"/>
    </row>
    <row r="494">
      <c r="B494" s="2"/>
      <c r="C494" s="2"/>
      <c r="D494" s="2"/>
      <c r="E494" s="2"/>
      <c r="F494" s="2"/>
      <c r="G494" s="2"/>
      <c r="H494" s="2"/>
      <c r="I494" s="2"/>
      <c r="J494" s="2"/>
    </row>
    <row r="495">
      <c r="B495" s="2"/>
      <c r="C495" s="2"/>
      <c r="D495" s="2"/>
      <c r="E495" s="2"/>
      <c r="F495" s="2"/>
      <c r="G495" s="2"/>
      <c r="H495" s="2"/>
      <c r="I495" s="2"/>
      <c r="J495" s="2"/>
    </row>
    <row r="496">
      <c r="B496" s="2"/>
      <c r="C496" s="2"/>
      <c r="D496" s="2"/>
      <c r="E496" s="2"/>
      <c r="F496" s="2"/>
      <c r="G496" s="2"/>
      <c r="H496" s="2"/>
      <c r="I496" s="2"/>
      <c r="J496" s="2"/>
    </row>
    <row r="497">
      <c r="B497" s="2"/>
      <c r="C497" s="2"/>
      <c r="D497" s="2"/>
      <c r="E497" s="2"/>
      <c r="F497" s="2"/>
      <c r="G497" s="2"/>
      <c r="H497" s="2"/>
      <c r="I497" s="2"/>
      <c r="J497" s="2"/>
    </row>
    <row r="498">
      <c r="B498" s="2"/>
      <c r="C498" s="2"/>
      <c r="D498" s="2"/>
      <c r="E498" s="2"/>
      <c r="F498" s="2"/>
      <c r="G498" s="2"/>
      <c r="H498" s="2"/>
      <c r="I498" s="2"/>
      <c r="J498" s="2"/>
    </row>
    <row r="499">
      <c r="B499" s="2"/>
      <c r="C499" s="2"/>
      <c r="D499" s="2"/>
      <c r="E499" s="2"/>
      <c r="F499" s="2"/>
      <c r="G499" s="2"/>
      <c r="H499" s="2"/>
      <c r="I499" s="2"/>
      <c r="J499" s="2"/>
    </row>
    <row r="500">
      <c r="B500" s="2"/>
      <c r="C500" s="2"/>
      <c r="D500" s="2"/>
      <c r="E500" s="2"/>
      <c r="F500" s="2"/>
      <c r="G500" s="2"/>
      <c r="H500" s="2"/>
      <c r="I500" s="2"/>
      <c r="J500" s="2"/>
    </row>
    <row r="501">
      <c r="B501" s="2"/>
      <c r="C501" s="2"/>
      <c r="D501" s="2"/>
      <c r="E501" s="2"/>
      <c r="F501" s="2"/>
      <c r="G501" s="2"/>
      <c r="H501" s="2"/>
      <c r="I501" s="2"/>
      <c r="J501" s="2"/>
    </row>
    <row r="502">
      <c r="B502" s="2"/>
      <c r="C502" s="2"/>
      <c r="D502" s="2"/>
      <c r="E502" s="2"/>
      <c r="F502" s="2"/>
      <c r="G502" s="2"/>
      <c r="H502" s="2"/>
      <c r="I502" s="2"/>
      <c r="J502" s="2"/>
    </row>
    <row r="503">
      <c r="B503" s="2"/>
      <c r="C503" s="2"/>
      <c r="D503" s="2"/>
      <c r="E503" s="2"/>
      <c r="F503" s="2"/>
      <c r="G503" s="2"/>
      <c r="H503" s="2"/>
      <c r="I503" s="2"/>
      <c r="J503" s="2"/>
    </row>
    <row r="504">
      <c r="B504" s="2"/>
      <c r="C504" s="2"/>
      <c r="D504" s="2"/>
      <c r="E504" s="2"/>
      <c r="F504" s="2"/>
      <c r="G504" s="2"/>
      <c r="H504" s="2"/>
      <c r="I504" s="2"/>
      <c r="J504" s="2"/>
    </row>
    <row r="505">
      <c r="B505" s="2"/>
      <c r="C505" s="2"/>
      <c r="D505" s="2"/>
      <c r="E505" s="2"/>
      <c r="F505" s="2"/>
      <c r="G505" s="2"/>
      <c r="H505" s="2"/>
      <c r="I505" s="2"/>
      <c r="J505" s="2"/>
    </row>
    <row r="506">
      <c r="B506" s="2"/>
      <c r="C506" s="2"/>
      <c r="D506" s="2"/>
      <c r="E506" s="2"/>
      <c r="F506" s="2"/>
      <c r="G506" s="2"/>
      <c r="H506" s="2"/>
      <c r="I506" s="2"/>
      <c r="J506" s="2"/>
    </row>
    <row r="507">
      <c r="B507" s="2"/>
      <c r="C507" s="2"/>
      <c r="D507" s="2"/>
      <c r="E507" s="2"/>
      <c r="F507" s="2"/>
      <c r="G507" s="2"/>
      <c r="H507" s="2"/>
      <c r="I507" s="2"/>
      <c r="J507" s="2"/>
    </row>
    <row r="508">
      <c r="B508" s="2"/>
      <c r="C508" s="2"/>
      <c r="D508" s="2"/>
      <c r="E508" s="2"/>
      <c r="F508" s="2"/>
      <c r="G508" s="2"/>
      <c r="H508" s="2"/>
      <c r="I508" s="2"/>
      <c r="J508" s="2"/>
    </row>
    <row r="509">
      <c r="B509" s="2"/>
      <c r="C509" s="2"/>
      <c r="D509" s="2"/>
      <c r="E509" s="2"/>
      <c r="F509" s="2"/>
      <c r="G509" s="2"/>
      <c r="H509" s="2"/>
      <c r="I509" s="2"/>
      <c r="J509" s="2"/>
    </row>
    <row r="510">
      <c r="B510" s="2"/>
      <c r="C510" s="2"/>
      <c r="D510" s="2"/>
      <c r="E510" s="2"/>
      <c r="F510" s="2"/>
      <c r="G510" s="2"/>
      <c r="H510" s="2"/>
      <c r="I510" s="2"/>
      <c r="J510" s="2"/>
    </row>
    <row r="511">
      <c r="B511" s="2"/>
      <c r="C511" s="2"/>
      <c r="D511" s="2"/>
      <c r="E511" s="2"/>
      <c r="F511" s="2"/>
      <c r="G511" s="2"/>
      <c r="H511" s="2"/>
      <c r="I511" s="2"/>
      <c r="J511" s="2"/>
    </row>
    <row r="512">
      <c r="B512" s="2"/>
      <c r="C512" s="2"/>
      <c r="D512" s="2"/>
      <c r="E512" s="2"/>
      <c r="F512" s="2"/>
      <c r="G512" s="2"/>
      <c r="H512" s="2"/>
      <c r="I512" s="2"/>
      <c r="J512" s="2"/>
    </row>
    <row r="513">
      <c r="B513" s="2"/>
      <c r="C513" s="2"/>
      <c r="D513" s="2"/>
      <c r="E513" s="2"/>
      <c r="F513" s="2"/>
      <c r="G513" s="2"/>
      <c r="H513" s="2"/>
      <c r="I513" s="2"/>
      <c r="J513" s="2"/>
    </row>
    <row r="514">
      <c r="B514" s="2"/>
      <c r="C514" s="2"/>
      <c r="D514" s="2"/>
      <c r="E514" s="2"/>
      <c r="F514" s="2"/>
      <c r="G514" s="2"/>
      <c r="H514" s="2"/>
      <c r="I514" s="2"/>
      <c r="J514" s="2"/>
    </row>
    <row r="515">
      <c r="B515" s="2"/>
      <c r="C515" s="2"/>
      <c r="D515" s="2"/>
      <c r="E515" s="2"/>
      <c r="F515" s="2"/>
      <c r="G515" s="2"/>
      <c r="H515" s="2"/>
      <c r="I515" s="2"/>
      <c r="J515" s="2"/>
    </row>
    <row r="516">
      <c r="B516" s="2"/>
      <c r="C516" s="2"/>
      <c r="D516" s="2"/>
      <c r="E516" s="2"/>
      <c r="F516" s="2"/>
      <c r="G516" s="2"/>
      <c r="H516" s="2"/>
      <c r="I516" s="2"/>
      <c r="J516" s="2"/>
    </row>
    <row r="517">
      <c r="B517" s="2"/>
      <c r="C517" s="2"/>
      <c r="D517" s="2"/>
      <c r="E517" s="2"/>
      <c r="F517" s="2"/>
      <c r="G517" s="2"/>
      <c r="H517" s="2"/>
      <c r="I517" s="2"/>
      <c r="J517" s="2"/>
    </row>
    <row r="518">
      <c r="B518" s="2"/>
      <c r="C518" s="2"/>
      <c r="D518" s="2"/>
      <c r="E518" s="2"/>
      <c r="F518" s="2"/>
      <c r="G518" s="2"/>
      <c r="H518" s="2"/>
      <c r="I518" s="2"/>
      <c r="J518" s="2"/>
    </row>
    <row r="519">
      <c r="B519" s="2"/>
      <c r="C519" s="2"/>
      <c r="D519" s="2"/>
      <c r="E519" s="2"/>
      <c r="F519" s="2"/>
      <c r="G519" s="2"/>
      <c r="H519" s="2"/>
      <c r="I519" s="2"/>
      <c r="J519" s="2"/>
    </row>
    <row r="520">
      <c r="B520" s="2"/>
      <c r="C520" s="2"/>
      <c r="D520" s="2"/>
      <c r="E520" s="2"/>
      <c r="F520" s="2"/>
      <c r="G520" s="2"/>
      <c r="H520" s="2"/>
      <c r="I520" s="2"/>
      <c r="J520" s="2"/>
    </row>
    <row r="521">
      <c r="B521" s="2"/>
      <c r="C521" s="2"/>
      <c r="D521" s="2"/>
      <c r="E521" s="2"/>
      <c r="F521" s="2"/>
      <c r="G521" s="2"/>
      <c r="H521" s="2"/>
      <c r="I521" s="2"/>
      <c r="J521" s="2"/>
    </row>
    <row r="522">
      <c r="B522" s="2"/>
      <c r="C522" s="2"/>
      <c r="D522" s="2"/>
      <c r="E522" s="2"/>
      <c r="F522" s="2"/>
      <c r="G522" s="2"/>
      <c r="H522" s="2"/>
      <c r="I522" s="2"/>
      <c r="J522" s="2"/>
    </row>
    <row r="523">
      <c r="B523" s="2"/>
      <c r="C523" s="2"/>
      <c r="D523" s="2"/>
      <c r="E523" s="2"/>
      <c r="F523" s="2"/>
      <c r="G523" s="2"/>
      <c r="H523" s="2"/>
      <c r="I523" s="2"/>
      <c r="J523" s="2"/>
    </row>
    <row r="524">
      <c r="B524" s="2"/>
      <c r="C524" s="2"/>
      <c r="D524" s="2"/>
      <c r="E524" s="2"/>
      <c r="F524" s="2"/>
      <c r="G524" s="2"/>
      <c r="H524" s="2"/>
      <c r="I524" s="2"/>
      <c r="J524" s="2"/>
    </row>
    <row r="525">
      <c r="B525" s="2"/>
      <c r="C525" s="2"/>
      <c r="D525" s="2"/>
      <c r="E525" s="2"/>
      <c r="F525" s="2"/>
      <c r="G525" s="2"/>
      <c r="H525" s="2"/>
      <c r="I525" s="2"/>
      <c r="J525" s="2"/>
    </row>
    <row r="526">
      <c r="B526" s="2"/>
      <c r="C526" s="2"/>
      <c r="D526" s="2"/>
      <c r="E526" s="2"/>
      <c r="F526" s="2"/>
      <c r="G526" s="2"/>
      <c r="H526" s="2"/>
      <c r="I526" s="2"/>
      <c r="J526" s="2"/>
    </row>
    <row r="527">
      <c r="B527" s="2"/>
      <c r="C527" s="2"/>
      <c r="D527" s="2"/>
      <c r="E527" s="2"/>
      <c r="F527" s="2"/>
      <c r="G527" s="2"/>
      <c r="H527" s="2"/>
      <c r="I527" s="2"/>
      <c r="J527" s="2"/>
    </row>
    <row r="528">
      <c r="B528" s="2"/>
      <c r="C528" s="2"/>
      <c r="D528" s="2"/>
      <c r="E528" s="2"/>
      <c r="F528" s="2"/>
      <c r="G528" s="2"/>
      <c r="H528" s="2"/>
      <c r="I528" s="2"/>
      <c r="J528" s="2"/>
    </row>
    <row r="529">
      <c r="B529" s="2"/>
      <c r="C529" s="2"/>
      <c r="D529" s="2"/>
      <c r="E529" s="2"/>
      <c r="F529" s="2"/>
      <c r="G529" s="2"/>
      <c r="H529" s="2"/>
      <c r="I529" s="2"/>
      <c r="J529" s="2"/>
    </row>
    <row r="530">
      <c r="B530" s="2"/>
      <c r="C530" s="2"/>
      <c r="D530" s="2"/>
      <c r="E530" s="2"/>
      <c r="F530" s="2"/>
      <c r="G530" s="2"/>
      <c r="H530" s="2"/>
      <c r="I530" s="2"/>
      <c r="J530" s="2"/>
    </row>
    <row r="531">
      <c r="B531" s="2"/>
      <c r="C531" s="2"/>
      <c r="D531" s="2"/>
      <c r="E531" s="2"/>
      <c r="F531" s="2"/>
      <c r="G531" s="2"/>
      <c r="H531" s="2"/>
      <c r="I531" s="2"/>
      <c r="J531" s="2"/>
    </row>
    <row r="532">
      <c r="B532" s="2"/>
      <c r="C532" s="2"/>
      <c r="D532" s="2"/>
      <c r="E532" s="2"/>
      <c r="F532" s="2"/>
      <c r="G532" s="2"/>
      <c r="H532" s="2"/>
      <c r="I532" s="2"/>
      <c r="J532" s="2"/>
    </row>
    <row r="533">
      <c r="B533" s="2"/>
      <c r="C533" s="2"/>
      <c r="D533" s="2"/>
      <c r="E533" s="2"/>
      <c r="F533" s="2"/>
      <c r="G533" s="2"/>
      <c r="H533" s="2"/>
      <c r="I533" s="2"/>
      <c r="J533" s="2"/>
    </row>
    <row r="534">
      <c r="B534" s="2"/>
      <c r="C534" s="2"/>
      <c r="D534" s="2"/>
      <c r="E534" s="2"/>
      <c r="F534" s="2"/>
      <c r="G534" s="2"/>
      <c r="H534" s="2"/>
      <c r="I534" s="2"/>
      <c r="J534" s="2"/>
    </row>
    <row r="535">
      <c r="B535" s="2"/>
      <c r="C535" s="2"/>
      <c r="D535" s="2"/>
      <c r="E535" s="2"/>
      <c r="F535" s="2"/>
      <c r="G535" s="2"/>
      <c r="H535" s="2"/>
      <c r="I535" s="2"/>
      <c r="J535" s="2"/>
    </row>
    <row r="536">
      <c r="B536" s="2"/>
      <c r="C536" s="2"/>
      <c r="D536" s="2"/>
      <c r="E536" s="2"/>
      <c r="F536" s="2"/>
      <c r="G536" s="2"/>
      <c r="H536" s="2"/>
      <c r="I536" s="2"/>
      <c r="J536" s="2"/>
    </row>
    <row r="537">
      <c r="B537" s="2"/>
      <c r="C537" s="2"/>
      <c r="D537" s="2"/>
      <c r="E537" s="2"/>
      <c r="F537" s="2"/>
      <c r="G537" s="2"/>
      <c r="H537" s="2"/>
      <c r="I537" s="2"/>
      <c r="J537" s="2"/>
    </row>
    <row r="538">
      <c r="B538" s="2"/>
      <c r="C538" s="2"/>
      <c r="D538" s="2"/>
      <c r="E538" s="2"/>
      <c r="F538" s="2"/>
      <c r="G538" s="2"/>
      <c r="H538" s="2"/>
      <c r="I538" s="2"/>
      <c r="J538" s="2"/>
    </row>
    <row r="539">
      <c r="B539" s="2"/>
      <c r="C539" s="2"/>
      <c r="D539" s="2"/>
      <c r="E539" s="2"/>
      <c r="F539" s="2"/>
      <c r="G539" s="2"/>
      <c r="H539" s="2"/>
      <c r="I539" s="2"/>
      <c r="J539" s="2"/>
    </row>
    <row r="540">
      <c r="B540" s="2"/>
      <c r="C540" s="2"/>
      <c r="D540" s="2"/>
      <c r="E540" s="2"/>
      <c r="F540" s="2"/>
      <c r="G540" s="2"/>
      <c r="H540" s="2"/>
      <c r="I540" s="2"/>
      <c r="J540" s="2"/>
    </row>
    <row r="541">
      <c r="B541" s="2"/>
      <c r="C541" s="2"/>
      <c r="D541" s="2"/>
      <c r="E541" s="2"/>
      <c r="F541" s="2"/>
      <c r="G541" s="2"/>
      <c r="H541" s="2"/>
      <c r="I541" s="2"/>
      <c r="J541" s="2"/>
    </row>
    <row r="542">
      <c r="B542" s="2"/>
      <c r="C542" s="2"/>
      <c r="D542" s="2"/>
      <c r="E542" s="2"/>
      <c r="F542" s="2"/>
      <c r="G542" s="2"/>
      <c r="H542" s="2"/>
      <c r="I542" s="2"/>
      <c r="J542" s="2"/>
    </row>
    <row r="543">
      <c r="B543" s="2"/>
      <c r="C543" s="2"/>
      <c r="D543" s="2"/>
      <c r="E543" s="2"/>
      <c r="F543" s="2"/>
      <c r="G543" s="2"/>
      <c r="H543" s="2"/>
      <c r="I543" s="2"/>
      <c r="J543" s="2"/>
    </row>
    <row r="544">
      <c r="B544" s="2"/>
      <c r="C544" s="2"/>
      <c r="D544" s="2"/>
      <c r="E544" s="2"/>
      <c r="F544" s="2"/>
      <c r="G544" s="2"/>
      <c r="H544" s="2"/>
      <c r="I544" s="2"/>
      <c r="J544" s="2"/>
    </row>
    <row r="545">
      <c r="B545" s="2"/>
      <c r="C545" s="2"/>
      <c r="D545" s="2"/>
      <c r="E545" s="2"/>
      <c r="F545" s="2"/>
      <c r="G545" s="2"/>
      <c r="H545" s="2"/>
      <c r="I545" s="2"/>
      <c r="J545" s="2"/>
    </row>
    <row r="546">
      <c r="B546" s="2"/>
      <c r="C546" s="2"/>
      <c r="D546" s="2"/>
      <c r="E546" s="2"/>
      <c r="F546" s="2"/>
      <c r="G546" s="2"/>
      <c r="H546" s="2"/>
      <c r="I546" s="2"/>
      <c r="J546" s="2"/>
    </row>
    <row r="547">
      <c r="B547" s="2"/>
      <c r="C547" s="2"/>
      <c r="D547" s="2"/>
      <c r="E547" s="2"/>
      <c r="F547" s="2"/>
      <c r="G547" s="2"/>
      <c r="H547" s="2"/>
      <c r="I547" s="2"/>
      <c r="J547" s="2"/>
    </row>
    <row r="548">
      <c r="B548" s="2"/>
      <c r="C548" s="2"/>
      <c r="D548" s="2"/>
      <c r="E548" s="2"/>
      <c r="F548" s="2"/>
      <c r="G548" s="2"/>
      <c r="H548" s="2"/>
      <c r="I548" s="2"/>
      <c r="J548" s="2"/>
    </row>
    <row r="549">
      <c r="B549" s="2"/>
      <c r="C549" s="2"/>
      <c r="D549" s="2"/>
      <c r="E549" s="2"/>
      <c r="F549" s="2"/>
      <c r="G549" s="2"/>
      <c r="H549" s="2"/>
      <c r="I549" s="2"/>
      <c r="J549" s="2"/>
    </row>
    <row r="550">
      <c r="B550" s="2"/>
      <c r="C550" s="2"/>
      <c r="D550" s="2"/>
      <c r="E550" s="2"/>
      <c r="F550" s="2"/>
      <c r="G550" s="2"/>
      <c r="H550" s="2"/>
      <c r="I550" s="2"/>
      <c r="J550" s="2"/>
    </row>
    <row r="551">
      <c r="B551" s="2"/>
      <c r="C551" s="2"/>
      <c r="D551" s="2"/>
      <c r="E551" s="2"/>
      <c r="F551" s="2"/>
      <c r="G551" s="2"/>
      <c r="H551" s="2"/>
      <c r="I551" s="2"/>
      <c r="J551" s="2"/>
    </row>
    <row r="552">
      <c r="B552" s="2"/>
      <c r="C552" s="2"/>
      <c r="D552" s="2"/>
      <c r="E552" s="2"/>
      <c r="F552" s="2"/>
      <c r="G552" s="2"/>
      <c r="H552" s="2"/>
      <c r="I552" s="2"/>
      <c r="J552" s="2"/>
    </row>
    <row r="553">
      <c r="B553" s="2"/>
      <c r="C553" s="2"/>
      <c r="D553" s="2"/>
      <c r="E553" s="2"/>
      <c r="F553" s="2"/>
      <c r="G553" s="2"/>
      <c r="H553" s="2"/>
      <c r="I553" s="2"/>
      <c r="J553" s="2"/>
    </row>
    <row r="554">
      <c r="B554" s="2"/>
      <c r="C554" s="2"/>
      <c r="D554" s="2"/>
      <c r="E554" s="2"/>
      <c r="F554" s="2"/>
      <c r="G554" s="2"/>
      <c r="H554" s="2"/>
      <c r="I554" s="2"/>
      <c r="J554" s="2"/>
    </row>
    <row r="555">
      <c r="B555" s="2"/>
      <c r="C555" s="2"/>
      <c r="D555" s="2"/>
      <c r="E555" s="2"/>
      <c r="F555" s="2"/>
      <c r="G555" s="2"/>
      <c r="H555" s="2"/>
      <c r="I555" s="2"/>
      <c r="J555" s="2"/>
    </row>
    <row r="556">
      <c r="B556" s="2"/>
      <c r="C556" s="2"/>
      <c r="D556" s="2"/>
      <c r="E556" s="2"/>
      <c r="F556" s="2"/>
      <c r="G556" s="2"/>
      <c r="H556" s="2"/>
      <c r="I556" s="2"/>
      <c r="J556" s="2"/>
    </row>
    <row r="557">
      <c r="B557" s="2"/>
      <c r="C557" s="2"/>
      <c r="D557" s="2"/>
      <c r="E557" s="2"/>
      <c r="F557" s="2"/>
      <c r="G557" s="2"/>
      <c r="H557" s="2"/>
      <c r="I557" s="2"/>
      <c r="J557" s="2"/>
    </row>
    <row r="558">
      <c r="B558" s="2"/>
      <c r="C558" s="2"/>
      <c r="D558" s="2"/>
      <c r="E558" s="2"/>
      <c r="F558" s="2"/>
      <c r="G558" s="2"/>
      <c r="H558" s="2"/>
      <c r="I558" s="2"/>
      <c r="J558" s="2"/>
    </row>
    <row r="559">
      <c r="B559" s="2"/>
      <c r="C559" s="2"/>
      <c r="D559" s="2"/>
      <c r="E559" s="2"/>
      <c r="F559" s="2"/>
      <c r="G559" s="2"/>
      <c r="H559" s="2"/>
      <c r="I559" s="2"/>
      <c r="J559" s="2"/>
    </row>
    <row r="560">
      <c r="B560" s="2"/>
      <c r="C560" s="2"/>
      <c r="D560" s="2"/>
      <c r="E560" s="2"/>
      <c r="F560" s="2"/>
      <c r="G560" s="2"/>
      <c r="H560" s="2"/>
      <c r="I560" s="2"/>
      <c r="J560" s="2"/>
    </row>
    <row r="561">
      <c r="B561" s="2"/>
      <c r="C561" s="2"/>
      <c r="D561" s="2"/>
      <c r="E561" s="2"/>
      <c r="F561" s="2"/>
      <c r="G561" s="2"/>
      <c r="H561" s="2"/>
      <c r="I561" s="2"/>
      <c r="J561" s="2"/>
    </row>
    <row r="562">
      <c r="B562" s="2"/>
      <c r="C562" s="2"/>
      <c r="D562" s="2"/>
      <c r="E562" s="2"/>
      <c r="F562" s="2"/>
      <c r="G562" s="2"/>
      <c r="H562" s="2"/>
      <c r="I562" s="2"/>
      <c r="J562" s="2"/>
    </row>
    <row r="563">
      <c r="B563" s="2"/>
      <c r="C563" s="2"/>
      <c r="D563" s="2"/>
      <c r="E563" s="2"/>
      <c r="F563" s="2"/>
      <c r="G563" s="2"/>
      <c r="H563" s="2"/>
      <c r="I563" s="2"/>
      <c r="J563" s="2"/>
    </row>
    <row r="564">
      <c r="B564" s="2"/>
      <c r="C564" s="2"/>
      <c r="D564" s="2"/>
      <c r="E564" s="2"/>
      <c r="F564" s="2"/>
      <c r="G564" s="2"/>
      <c r="H564" s="2"/>
      <c r="I564" s="2"/>
      <c r="J564" s="2"/>
    </row>
    <row r="565">
      <c r="B565" s="2"/>
      <c r="C565" s="2"/>
      <c r="D565" s="2"/>
      <c r="E565" s="2"/>
      <c r="F565" s="2"/>
      <c r="G565" s="2"/>
      <c r="H565" s="2"/>
      <c r="I565" s="2"/>
      <c r="J565" s="2"/>
    </row>
    <row r="566">
      <c r="B566" s="2"/>
      <c r="C566" s="2"/>
      <c r="D566" s="2"/>
      <c r="E566" s="2"/>
      <c r="F566" s="2"/>
      <c r="G566" s="2"/>
      <c r="H566" s="2"/>
      <c r="I566" s="2"/>
      <c r="J566" s="2"/>
    </row>
    <row r="567">
      <c r="B567" s="2"/>
      <c r="C567" s="2"/>
      <c r="D567" s="2"/>
      <c r="E567" s="2"/>
      <c r="F567" s="2"/>
      <c r="G567" s="2"/>
      <c r="H567" s="2"/>
      <c r="I567" s="2"/>
      <c r="J567" s="2"/>
    </row>
    <row r="568">
      <c r="B568" s="2"/>
      <c r="C568" s="2"/>
      <c r="D568" s="2"/>
      <c r="E568" s="2"/>
      <c r="F568" s="2"/>
      <c r="G568" s="2"/>
      <c r="H568" s="2"/>
      <c r="I568" s="2"/>
      <c r="J568" s="2"/>
    </row>
    <row r="569">
      <c r="B569" s="2"/>
      <c r="C569" s="2"/>
      <c r="D569" s="2"/>
      <c r="E569" s="2"/>
      <c r="F569" s="2"/>
      <c r="G569" s="2"/>
      <c r="H569" s="2"/>
      <c r="I569" s="2"/>
      <c r="J569" s="2"/>
    </row>
    <row r="570">
      <c r="B570" s="2"/>
      <c r="C570" s="2"/>
      <c r="D570" s="2"/>
      <c r="E570" s="2"/>
      <c r="F570" s="2"/>
      <c r="G570" s="2"/>
      <c r="H570" s="2"/>
      <c r="I570" s="2"/>
      <c r="J570" s="2"/>
    </row>
    <row r="571">
      <c r="B571" s="2"/>
      <c r="C571" s="2"/>
      <c r="D571" s="2"/>
      <c r="E571" s="2"/>
      <c r="F571" s="2"/>
      <c r="G571" s="2"/>
      <c r="H571" s="2"/>
      <c r="I571" s="2"/>
      <c r="J571" s="2"/>
    </row>
    <row r="572">
      <c r="B572" s="2"/>
      <c r="C572" s="2"/>
      <c r="D572" s="2"/>
      <c r="E572" s="2"/>
      <c r="F572" s="2"/>
      <c r="G572" s="2"/>
      <c r="H572" s="2"/>
      <c r="I572" s="2"/>
      <c r="J572" s="2"/>
    </row>
    <row r="573">
      <c r="B573" s="2"/>
      <c r="C573" s="2"/>
      <c r="D573" s="2"/>
      <c r="E573" s="2"/>
      <c r="F573" s="2"/>
      <c r="G573" s="2"/>
      <c r="H573" s="2"/>
      <c r="I573" s="2"/>
      <c r="J573" s="2"/>
    </row>
    <row r="574">
      <c r="B574" s="2"/>
      <c r="C574" s="2"/>
      <c r="D574" s="2"/>
      <c r="E574" s="2"/>
      <c r="F574" s="2"/>
      <c r="G574" s="2"/>
      <c r="H574" s="2"/>
      <c r="I574" s="2"/>
      <c r="J574" s="2"/>
    </row>
    <row r="575">
      <c r="B575" s="2"/>
      <c r="C575" s="2"/>
      <c r="D575" s="2"/>
      <c r="E575" s="2"/>
      <c r="F575" s="2"/>
      <c r="G575" s="2"/>
      <c r="H575" s="2"/>
      <c r="I575" s="2"/>
      <c r="J575" s="2"/>
    </row>
    <row r="576">
      <c r="B576" s="2"/>
      <c r="C576" s="2"/>
      <c r="D576" s="2"/>
      <c r="E576" s="2"/>
      <c r="F576" s="2"/>
      <c r="G576" s="2"/>
      <c r="H576" s="2"/>
      <c r="I576" s="2"/>
      <c r="J576" s="2"/>
    </row>
    <row r="577">
      <c r="B577" s="2"/>
      <c r="C577" s="2"/>
      <c r="D577" s="2"/>
      <c r="E577" s="2"/>
      <c r="F577" s="2"/>
      <c r="G577" s="2"/>
      <c r="H577" s="2"/>
      <c r="I577" s="2"/>
      <c r="J577" s="2"/>
    </row>
    <row r="578">
      <c r="B578" s="2"/>
      <c r="C578" s="2"/>
      <c r="D578" s="2"/>
      <c r="E578" s="2"/>
      <c r="F578" s="2"/>
      <c r="G578" s="2"/>
      <c r="H578" s="2"/>
      <c r="I578" s="2"/>
      <c r="J578" s="2"/>
    </row>
    <row r="579">
      <c r="B579" s="2"/>
      <c r="C579" s="2"/>
      <c r="D579" s="2"/>
      <c r="E579" s="2"/>
      <c r="F579" s="2"/>
      <c r="G579" s="2"/>
      <c r="H579" s="2"/>
      <c r="I579" s="2"/>
      <c r="J579" s="2"/>
    </row>
    <row r="580">
      <c r="B580" s="2"/>
      <c r="C580" s="2"/>
      <c r="D580" s="2"/>
      <c r="E580" s="2"/>
      <c r="F580" s="2"/>
      <c r="G580" s="2"/>
      <c r="H580" s="2"/>
      <c r="I580" s="2"/>
      <c r="J580" s="2"/>
    </row>
    <row r="581">
      <c r="B581" s="2"/>
      <c r="C581" s="2"/>
      <c r="D581" s="2"/>
      <c r="E581" s="2"/>
      <c r="F581" s="2"/>
      <c r="G581" s="2"/>
      <c r="H581" s="2"/>
      <c r="I581" s="2"/>
      <c r="J581" s="2"/>
    </row>
    <row r="582">
      <c r="B582" s="2"/>
      <c r="C582" s="2"/>
      <c r="D582" s="2"/>
      <c r="E582" s="2"/>
      <c r="F582" s="2"/>
      <c r="G582" s="2"/>
      <c r="H582" s="2"/>
      <c r="I582" s="2"/>
      <c r="J582" s="2"/>
    </row>
    <row r="583">
      <c r="B583" s="2"/>
      <c r="C583" s="2"/>
      <c r="D583" s="2"/>
      <c r="E583" s="2"/>
      <c r="F583" s="2"/>
      <c r="G583" s="2"/>
      <c r="H583" s="2"/>
      <c r="I583" s="2"/>
      <c r="J583" s="2"/>
    </row>
    <row r="584">
      <c r="B584" s="2"/>
      <c r="C584" s="2"/>
      <c r="D584" s="2"/>
      <c r="E584" s="2"/>
      <c r="F584" s="2"/>
      <c r="G584" s="2"/>
      <c r="H584" s="2"/>
      <c r="I584" s="2"/>
      <c r="J584" s="2"/>
    </row>
    <row r="585">
      <c r="B585" s="2"/>
      <c r="C585" s="2"/>
      <c r="D585" s="2"/>
      <c r="E585" s="2"/>
      <c r="F585" s="2"/>
      <c r="G585" s="2"/>
      <c r="H585" s="2"/>
      <c r="I585" s="2"/>
      <c r="J585" s="2"/>
    </row>
    <row r="586">
      <c r="B586" s="2"/>
      <c r="C586" s="2"/>
      <c r="D586" s="2"/>
      <c r="E586" s="2"/>
      <c r="F586" s="2"/>
      <c r="G586" s="2"/>
      <c r="H586" s="2"/>
      <c r="I586" s="2"/>
      <c r="J586" s="2"/>
    </row>
    <row r="587">
      <c r="B587" s="2"/>
      <c r="C587" s="2"/>
      <c r="D587" s="2"/>
      <c r="E587" s="2"/>
      <c r="F587" s="2"/>
      <c r="G587" s="2"/>
      <c r="H587" s="2"/>
      <c r="I587" s="2"/>
      <c r="J587" s="2"/>
    </row>
    <row r="588">
      <c r="B588" s="2"/>
      <c r="C588" s="2"/>
      <c r="D588" s="2"/>
      <c r="E588" s="2"/>
      <c r="F588" s="2"/>
      <c r="G588" s="2"/>
      <c r="H588" s="2"/>
      <c r="I588" s="2"/>
      <c r="J588" s="2"/>
    </row>
    <row r="589">
      <c r="B589" s="2"/>
      <c r="C589" s="2"/>
      <c r="D589" s="2"/>
      <c r="E589" s="2"/>
      <c r="F589" s="2"/>
      <c r="G589" s="2"/>
      <c r="H589" s="2"/>
      <c r="I589" s="2"/>
      <c r="J589" s="2"/>
    </row>
    <row r="590">
      <c r="B590" s="2"/>
      <c r="C590" s="2"/>
      <c r="D590" s="2"/>
      <c r="E590" s="2"/>
      <c r="F590" s="2"/>
      <c r="G590" s="2"/>
      <c r="H590" s="2"/>
      <c r="I590" s="2"/>
      <c r="J590" s="2"/>
    </row>
    <row r="591">
      <c r="B591" s="2"/>
      <c r="C591" s="2"/>
      <c r="D591" s="2"/>
      <c r="E591" s="2"/>
      <c r="F591" s="2"/>
      <c r="G591" s="2"/>
      <c r="H591" s="2"/>
      <c r="I591" s="2"/>
      <c r="J591" s="2"/>
    </row>
    <row r="592">
      <c r="B592" s="2"/>
      <c r="C592" s="2"/>
      <c r="D592" s="2"/>
      <c r="E592" s="2"/>
      <c r="F592" s="2"/>
      <c r="G592" s="2"/>
      <c r="H592" s="2"/>
      <c r="I592" s="2"/>
      <c r="J592" s="2"/>
    </row>
    <row r="593">
      <c r="B593" s="2"/>
      <c r="C593" s="2"/>
      <c r="D593" s="2"/>
      <c r="E593" s="2"/>
      <c r="F593" s="2"/>
      <c r="G593" s="2"/>
      <c r="H593" s="2"/>
      <c r="I593" s="2"/>
      <c r="J593" s="2"/>
    </row>
    <row r="594">
      <c r="B594" s="2"/>
      <c r="C594" s="2"/>
      <c r="D594" s="2"/>
      <c r="E594" s="2"/>
      <c r="F594" s="2"/>
      <c r="G594" s="2"/>
      <c r="H594" s="2"/>
      <c r="I594" s="2"/>
      <c r="J594" s="2"/>
    </row>
    <row r="595">
      <c r="B595" s="2"/>
      <c r="C595" s="2"/>
      <c r="D595" s="2"/>
      <c r="E595" s="2"/>
      <c r="F595" s="2"/>
      <c r="G595" s="2"/>
      <c r="H595" s="2"/>
      <c r="I595" s="2"/>
      <c r="J595" s="2"/>
    </row>
    <row r="596">
      <c r="B596" s="2"/>
      <c r="C596" s="2"/>
      <c r="D596" s="2"/>
      <c r="E596" s="2"/>
      <c r="F596" s="2"/>
      <c r="G596" s="2"/>
      <c r="H596" s="2"/>
      <c r="I596" s="2"/>
      <c r="J596" s="2"/>
    </row>
    <row r="597">
      <c r="B597" s="2"/>
      <c r="C597" s="2"/>
      <c r="D597" s="2"/>
      <c r="E597" s="2"/>
      <c r="F597" s="2"/>
      <c r="G597" s="2"/>
      <c r="H597" s="2"/>
      <c r="I597" s="2"/>
      <c r="J597" s="2"/>
    </row>
    <row r="598">
      <c r="B598" s="2"/>
      <c r="C598" s="2"/>
      <c r="D598" s="2"/>
      <c r="E598" s="2"/>
      <c r="F598" s="2"/>
      <c r="G598" s="2"/>
      <c r="H598" s="2"/>
      <c r="I598" s="2"/>
      <c r="J598" s="2"/>
    </row>
    <row r="599">
      <c r="B599" s="2"/>
      <c r="C599" s="2"/>
      <c r="D599" s="2"/>
      <c r="E599" s="2"/>
      <c r="F599" s="2"/>
      <c r="G599" s="2"/>
      <c r="H599" s="2"/>
      <c r="I599" s="2"/>
      <c r="J599" s="2"/>
    </row>
    <row r="600">
      <c r="B600" s="2"/>
      <c r="C600" s="2"/>
      <c r="D600" s="2"/>
      <c r="E600" s="2"/>
      <c r="F600" s="2"/>
      <c r="G600" s="2"/>
      <c r="H600" s="2"/>
      <c r="I600" s="2"/>
      <c r="J600" s="2"/>
    </row>
    <row r="601">
      <c r="B601" s="2"/>
      <c r="C601" s="2"/>
      <c r="D601" s="2"/>
      <c r="E601" s="2"/>
      <c r="F601" s="2"/>
      <c r="G601" s="2"/>
      <c r="H601" s="2"/>
      <c r="I601" s="2"/>
      <c r="J601" s="2"/>
    </row>
    <row r="602">
      <c r="B602" s="2"/>
      <c r="C602" s="2"/>
      <c r="D602" s="2"/>
      <c r="E602" s="2"/>
      <c r="F602" s="2"/>
      <c r="G602" s="2"/>
      <c r="H602" s="2"/>
      <c r="I602" s="2"/>
      <c r="J602" s="2"/>
    </row>
    <row r="603">
      <c r="B603" s="2"/>
      <c r="C603" s="2"/>
      <c r="D603" s="2"/>
      <c r="E603" s="2"/>
      <c r="F603" s="2"/>
      <c r="G603" s="2"/>
      <c r="H603" s="2"/>
      <c r="I603" s="2"/>
      <c r="J603" s="2"/>
    </row>
    <row r="604">
      <c r="B604" s="2"/>
      <c r="C604" s="2"/>
      <c r="D604" s="2"/>
      <c r="E604" s="2"/>
      <c r="F604" s="2"/>
      <c r="G604" s="2"/>
      <c r="H604" s="2"/>
      <c r="I604" s="2"/>
      <c r="J604" s="2"/>
    </row>
    <row r="605">
      <c r="B605" s="2"/>
      <c r="C605" s="2"/>
      <c r="D605" s="2"/>
      <c r="E605" s="2"/>
      <c r="F605" s="2"/>
      <c r="G605" s="2"/>
      <c r="H605" s="2"/>
      <c r="I605" s="2"/>
      <c r="J605" s="2"/>
    </row>
    <row r="606">
      <c r="B606" s="2"/>
      <c r="C606" s="2"/>
      <c r="D606" s="2"/>
      <c r="E606" s="2"/>
      <c r="F606" s="2"/>
      <c r="G606" s="2"/>
      <c r="H606" s="2"/>
      <c r="I606" s="2"/>
      <c r="J606" s="2"/>
    </row>
    <row r="607">
      <c r="B607" s="2"/>
      <c r="C607" s="2"/>
      <c r="D607" s="2"/>
      <c r="E607" s="2"/>
      <c r="F607" s="2"/>
      <c r="G607" s="2"/>
      <c r="H607" s="2"/>
      <c r="I607" s="2"/>
      <c r="J607" s="2"/>
    </row>
    <row r="608">
      <c r="B608" s="2"/>
      <c r="C608" s="2"/>
      <c r="D608" s="2"/>
      <c r="E608" s="2"/>
      <c r="F608" s="2"/>
      <c r="G608" s="2"/>
      <c r="H608" s="2"/>
      <c r="I608" s="2"/>
      <c r="J608" s="2"/>
    </row>
    <row r="609">
      <c r="B609" s="2"/>
      <c r="C609" s="2"/>
      <c r="D609" s="2"/>
      <c r="E609" s="2"/>
      <c r="F609" s="2"/>
      <c r="G609" s="2"/>
      <c r="H609" s="2"/>
      <c r="I609" s="2"/>
      <c r="J609" s="2"/>
    </row>
    <row r="610">
      <c r="B610" s="2"/>
      <c r="C610" s="2"/>
      <c r="D610" s="2"/>
      <c r="E610" s="2"/>
      <c r="F610" s="2"/>
      <c r="G610" s="2"/>
      <c r="H610" s="2"/>
      <c r="I610" s="2"/>
      <c r="J610" s="2"/>
    </row>
    <row r="611">
      <c r="B611" s="2"/>
      <c r="C611" s="2"/>
      <c r="D611" s="2"/>
      <c r="E611" s="2"/>
      <c r="F611" s="2"/>
      <c r="G611" s="2"/>
      <c r="H611" s="2"/>
      <c r="I611" s="2"/>
      <c r="J611" s="2"/>
    </row>
    <row r="612">
      <c r="B612" s="2"/>
      <c r="C612" s="2"/>
      <c r="D612" s="2"/>
      <c r="E612" s="2"/>
      <c r="F612" s="2"/>
      <c r="G612" s="2"/>
      <c r="H612" s="2"/>
      <c r="I612" s="2"/>
      <c r="J612" s="2"/>
    </row>
    <row r="613">
      <c r="B613" s="2"/>
      <c r="C613" s="2"/>
      <c r="D613" s="2"/>
      <c r="E613" s="2"/>
      <c r="F613" s="2"/>
      <c r="G613" s="2"/>
      <c r="H613" s="2"/>
      <c r="I613" s="2"/>
      <c r="J613" s="2"/>
    </row>
    <row r="614">
      <c r="B614" s="2"/>
      <c r="C614" s="2"/>
      <c r="D614" s="2"/>
      <c r="E614" s="2"/>
      <c r="F614" s="2"/>
      <c r="G614" s="2"/>
      <c r="H614" s="2"/>
      <c r="I614" s="2"/>
      <c r="J614" s="2"/>
    </row>
    <row r="615">
      <c r="B615" s="2"/>
      <c r="C615" s="2"/>
      <c r="D615" s="2"/>
      <c r="E615" s="2"/>
      <c r="F615" s="2"/>
      <c r="G615" s="2"/>
      <c r="H615" s="2"/>
      <c r="I615" s="2"/>
      <c r="J615" s="2"/>
    </row>
    <row r="616">
      <c r="B616" s="2"/>
      <c r="C616" s="2"/>
      <c r="D616" s="2"/>
      <c r="E616" s="2"/>
      <c r="F616" s="2"/>
      <c r="G616" s="2"/>
      <c r="H616" s="2"/>
      <c r="I616" s="2"/>
      <c r="J616" s="2"/>
    </row>
    <row r="617">
      <c r="B617" s="2"/>
      <c r="C617" s="2"/>
      <c r="D617" s="2"/>
      <c r="E617" s="2"/>
      <c r="F617" s="2"/>
      <c r="G617" s="2"/>
      <c r="H617" s="2"/>
      <c r="I617" s="2"/>
      <c r="J617" s="2"/>
    </row>
    <row r="618">
      <c r="B618" s="2"/>
      <c r="C618" s="2"/>
      <c r="D618" s="2"/>
      <c r="E618" s="2"/>
      <c r="F618" s="2"/>
      <c r="G618" s="2"/>
      <c r="H618" s="2"/>
      <c r="I618" s="2"/>
      <c r="J618" s="2"/>
    </row>
    <row r="619">
      <c r="B619" s="2"/>
      <c r="C619" s="2"/>
      <c r="D619" s="2"/>
      <c r="E619" s="2"/>
      <c r="F619" s="2"/>
      <c r="G619" s="2"/>
      <c r="H619" s="2"/>
      <c r="I619" s="2"/>
      <c r="J619" s="2"/>
    </row>
    <row r="620">
      <c r="B620" s="2"/>
      <c r="C620" s="2"/>
      <c r="D620" s="2"/>
      <c r="E620" s="2"/>
      <c r="F620" s="2"/>
      <c r="G620" s="2"/>
      <c r="H620" s="2"/>
      <c r="I620" s="2"/>
      <c r="J620" s="2"/>
    </row>
    <row r="621">
      <c r="B621" s="2"/>
      <c r="C621" s="2"/>
      <c r="D621" s="2"/>
      <c r="E621" s="2"/>
      <c r="F621" s="2"/>
      <c r="G621" s="2"/>
      <c r="H621" s="2"/>
      <c r="I621" s="2"/>
      <c r="J621" s="2"/>
    </row>
    <row r="622">
      <c r="B622" s="2"/>
      <c r="C622" s="2"/>
      <c r="D622" s="2"/>
      <c r="E622" s="2"/>
      <c r="F622" s="2"/>
      <c r="G622" s="2"/>
      <c r="H622" s="2"/>
      <c r="I622" s="2"/>
      <c r="J622" s="2"/>
    </row>
    <row r="623">
      <c r="B623" s="2"/>
      <c r="C623" s="2"/>
      <c r="D623" s="2"/>
      <c r="E623" s="2"/>
      <c r="F623" s="2"/>
      <c r="G623" s="2"/>
      <c r="H623" s="2"/>
      <c r="I623" s="2"/>
      <c r="J623" s="2"/>
    </row>
    <row r="624">
      <c r="B624" s="2"/>
      <c r="C624" s="2"/>
      <c r="D624" s="2"/>
      <c r="E624" s="2"/>
      <c r="F624" s="2"/>
      <c r="G624" s="2"/>
      <c r="H624" s="2"/>
      <c r="I624" s="2"/>
      <c r="J624" s="2"/>
    </row>
    <row r="625">
      <c r="B625" s="2"/>
      <c r="C625" s="2"/>
      <c r="D625" s="2"/>
      <c r="E625" s="2"/>
      <c r="F625" s="2"/>
      <c r="G625" s="2"/>
      <c r="H625" s="2"/>
      <c r="I625" s="2"/>
      <c r="J625" s="2"/>
    </row>
    <row r="626">
      <c r="B626" s="2"/>
      <c r="C626" s="2"/>
      <c r="D626" s="2"/>
      <c r="E626" s="2"/>
      <c r="F626" s="2"/>
      <c r="G626" s="2"/>
      <c r="H626" s="2"/>
      <c r="I626" s="2"/>
      <c r="J626" s="2"/>
    </row>
    <row r="627">
      <c r="B627" s="2"/>
      <c r="C627" s="2"/>
      <c r="D627" s="2"/>
      <c r="E627" s="2"/>
      <c r="F627" s="2"/>
      <c r="G627" s="2"/>
      <c r="H627" s="2"/>
      <c r="I627" s="2"/>
      <c r="J627" s="2"/>
    </row>
    <row r="628">
      <c r="B628" s="2"/>
      <c r="C628" s="2"/>
      <c r="D628" s="2"/>
      <c r="E628" s="2"/>
      <c r="F628" s="2"/>
      <c r="G628" s="2"/>
      <c r="H628" s="2"/>
      <c r="I628" s="2"/>
      <c r="J628" s="2"/>
    </row>
    <row r="629">
      <c r="B629" s="2"/>
      <c r="C629" s="2"/>
      <c r="D629" s="2"/>
      <c r="E629" s="2"/>
      <c r="F629" s="2"/>
      <c r="G629" s="2"/>
      <c r="H629" s="2"/>
      <c r="I629" s="2"/>
      <c r="J629" s="2"/>
    </row>
    <row r="630">
      <c r="B630" s="2"/>
      <c r="C630" s="2"/>
      <c r="D630" s="2"/>
      <c r="E630" s="2"/>
      <c r="F630" s="2"/>
      <c r="G630" s="2"/>
      <c r="H630" s="2"/>
      <c r="I630" s="2"/>
      <c r="J630" s="2"/>
    </row>
    <row r="631">
      <c r="B631" s="2"/>
      <c r="C631" s="2"/>
      <c r="D631" s="2"/>
      <c r="E631" s="2"/>
      <c r="F631" s="2"/>
      <c r="G631" s="2"/>
      <c r="H631" s="2"/>
      <c r="I631" s="2"/>
      <c r="J631" s="2"/>
    </row>
    <row r="632">
      <c r="B632" s="2"/>
      <c r="C632" s="2"/>
      <c r="D632" s="2"/>
      <c r="E632" s="2"/>
      <c r="F632" s="2"/>
      <c r="G632" s="2"/>
      <c r="H632" s="2"/>
      <c r="I632" s="2"/>
      <c r="J632" s="2"/>
    </row>
    <row r="633">
      <c r="B633" s="2"/>
      <c r="C633" s="2"/>
      <c r="D633" s="2"/>
      <c r="E633" s="2"/>
      <c r="F633" s="2"/>
      <c r="G633" s="2"/>
      <c r="H633" s="2"/>
      <c r="I633" s="2"/>
      <c r="J633" s="2"/>
    </row>
    <row r="634">
      <c r="B634" s="2"/>
      <c r="C634" s="2"/>
      <c r="D634" s="2"/>
      <c r="E634" s="2"/>
      <c r="F634" s="2"/>
      <c r="G634" s="2"/>
      <c r="H634" s="2"/>
      <c r="I634" s="2"/>
      <c r="J634" s="2"/>
    </row>
    <row r="635">
      <c r="B635" s="2"/>
      <c r="C635" s="2"/>
      <c r="D635" s="2"/>
      <c r="E635" s="2"/>
      <c r="F635" s="2"/>
      <c r="G635" s="2"/>
      <c r="H635" s="2"/>
      <c r="I635" s="2"/>
      <c r="J635" s="2"/>
    </row>
    <row r="636">
      <c r="B636" s="2"/>
      <c r="C636" s="2"/>
      <c r="D636" s="2"/>
      <c r="E636" s="2"/>
      <c r="F636" s="2"/>
      <c r="G636" s="2"/>
      <c r="H636" s="2"/>
      <c r="I636" s="2"/>
      <c r="J636" s="2"/>
    </row>
    <row r="637">
      <c r="B637" s="2"/>
      <c r="C637" s="2"/>
      <c r="D637" s="2"/>
      <c r="E637" s="2"/>
      <c r="F637" s="2"/>
      <c r="G637" s="2"/>
      <c r="H637" s="2"/>
      <c r="I637" s="2"/>
      <c r="J637" s="2"/>
    </row>
    <row r="638">
      <c r="B638" s="2"/>
      <c r="C638" s="2"/>
      <c r="D638" s="2"/>
      <c r="E638" s="2"/>
      <c r="F638" s="2"/>
      <c r="G638" s="2"/>
      <c r="H638" s="2"/>
      <c r="I638" s="2"/>
      <c r="J638" s="2"/>
    </row>
    <row r="639">
      <c r="B639" s="2"/>
      <c r="C639" s="2"/>
      <c r="D639" s="2"/>
      <c r="E639" s="2"/>
      <c r="F639" s="2"/>
      <c r="G639" s="2"/>
      <c r="H639" s="2"/>
      <c r="I639" s="2"/>
      <c r="J639" s="2"/>
    </row>
    <row r="640">
      <c r="B640" s="2"/>
      <c r="C640" s="2"/>
      <c r="D640" s="2"/>
      <c r="E640" s="2"/>
      <c r="F640" s="2"/>
      <c r="G640" s="2"/>
      <c r="H640" s="2"/>
      <c r="I640" s="2"/>
      <c r="J640" s="2"/>
    </row>
    <row r="641">
      <c r="B641" s="2"/>
      <c r="C641" s="2"/>
      <c r="D641" s="2"/>
      <c r="E641" s="2"/>
      <c r="F641" s="2"/>
      <c r="G641" s="2"/>
      <c r="H641" s="2"/>
      <c r="I641" s="2"/>
      <c r="J641" s="2"/>
    </row>
    <row r="642">
      <c r="B642" s="2"/>
      <c r="C642" s="2"/>
      <c r="D642" s="2"/>
      <c r="E642" s="2"/>
      <c r="F642" s="2"/>
      <c r="G642" s="2"/>
      <c r="H642" s="2"/>
      <c r="I642" s="2"/>
      <c r="J642" s="2"/>
    </row>
    <row r="643">
      <c r="B643" s="2"/>
      <c r="C643" s="2"/>
      <c r="D643" s="2"/>
      <c r="E643" s="2"/>
      <c r="F643" s="2"/>
      <c r="G643" s="2"/>
      <c r="H643" s="2"/>
      <c r="I643" s="2"/>
      <c r="J643" s="2"/>
    </row>
    <row r="644">
      <c r="B644" s="2"/>
      <c r="C644" s="2"/>
      <c r="D644" s="2"/>
      <c r="E644" s="2"/>
      <c r="F644" s="2"/>
      <c r="G644" s="2"/>
      <c r="H644" s="2"/>
      <c r="I644" s="2"/>
      <c r="J644" s="2"/>
    </row>
    <row r="645">
      <c r="B645" s="2"/>
      <c r="C645" s="2"/>
      <c r="D645" s="2"/>
      <c r="E645" s="2"/>
      <c r="F645" s="2"/>
      <c r="G645" s="2"/>
      <c r="H645" s="2"/>
      <c r="I645" s="2"/>
      <c r="J645" s="2"/>
    </row>
    <row r="646">
      <c r="B646" s="2"/>
      <c r="C646" s="2"/>
      <c r="D646" s="2"/>
      <c r="E646" s="2"/>
      <c r="F646" s="2"/>
      <c r="G646" s="2"/>
      <c r="H646" s="2"/>
      <c r="I646" s="2"/>
      <c r="J646" s="2"/>
    </row>
    <row r="647">
      <c r="B647" s="2"/>
      <c r="C647" s="2"/>
      <c r="D647" s="2"/>
      <c r="E647" s="2"/>
      <c r="F647" s="2"/>
      <c r="G647" s="2"/>
      <c r="H647" s="2"/>
      <c r="I647" s="2"/>
      <c r="J647" s="2"/>
    </row>
    <row r="648">
      <c r="B648" s="2"/>
      <c r="C648" s="2"/>
      <c r="D648" s="2"/>
      <c r="E648" s="2"/>
      <c r="F648" s="2"/>
      <c r="G648" s="2"/>
      <c r="H648" s="2"/>
      <c r="I648" s="2"/>
      <c r="J648" s="2"/>
    </row>
    <row r="649">
      <c r="B649" s="2"/>
      <c r="C649" s="2"/>
      <c r="D649" s="2"/>
      <c r="E649" s="2"/>
      <c r="F649" s="2"/>
      <c r="G649" s="2"/>
      <c r="H649" s="2"/>
      <c r="I649" s="2"/>
      <c r="J649" s="2"/>
    </row>
    <row r="650">
      <c r="B650" s="2"/>
      <c r="C650" s="2"/>
      <c r="D650" s="2"/>
      <c r="E650" s="2"/>
      <c r="F650" s="2"/>
      <c r="G650" s="2"/>
      <c r="H650" s="2"/>
      <c r="I650" s="2"/>
      <c r="J650" s="2"/>
    </row>
    <row r="651">
      <c r="B651" s="2"/>
      <c r="C651" s="2"/>
      <c r="D651" s="2"/>
      <c r="E651" s="2"/>
      <c r="F651" s="2"/>
      <c r="G651" s="2"/>
      <c r="H651" s="2"/>
      <c r="I651" s="2"/>
      <c r="J651" s="2"/>
    </row>
    <row r="652">
      <c r="B652" s="2"/>
      <c r="C652" s="2"/>
      <c r="D652" s="2"/>
      <c r="E652" s="2"/>
      <c r="F652" s="2"/>
      <c r="G652" s="2"/>
      <c r="H652" s="2"/>
      <c r="I652" s="2"/>
      <c r="J652" s="2"/>
    </row>
    <row r="653">
      <c r="B653" s="2"/>
      <c r="C653" s="2"/>
      <c r="D653" s="2"/>
      <c r="E653" s="2"/>
      <c r="F653" s="2"/>
      <c r="G653" s="2"/>
      <c r="H653" s="2"/>
      <c r="I653" s="2"/>
      <c r="J653" s="2"/>
    </row>
    <row r="654">
      <c r="B654" s="2"/>
      <c r="C654" s="2"/>
      <c r="D654" s="2"/>
      <c r="E654" s="2"/>
      <c r="F654" s="2"/>
      <c r="G654" s="2"/>
      <c r="H654" s="2"/>
      <c r="I654" s="2"/>
      <c r="J654" s="2"/>
    </row>
    <row r="655">
      <c r="B655" s="2"/>
      <c r="C655" s="2"/>
      <c r="D655" s="2"/>
      <c r="E655" s="2"/>
      <c r="F655" s="2"/>
      <c r="G655" s="2"/>
      <c r="H655" s="2"/>
      <c r="I655" s="2"/>
      <c r="J655" s="2"/>
    </row>
    <row r="656">
      <c r="B656" s="2"/>
      <c r="C656" s="2"/>
      <c r="D656" s="2"/>
      <c r="E656" s="2"/>
      <c r="F656" s="2"/>
      <c r="G656" s="2"/>
      <c r="H656" s="2"/>
      <c r="I656" s="2"/>
      <c r="J656" s="2"/>
    </row>
    <row r="657">
      <c r="B657" s="2"/>
      <c r="C657" s="2"/>
      <c r="D657" s="2"/>
      <c r="E657" s="2"/>
      <c r="F657" s="2"/>
      <c r="G657" s="2"/>
      <c r="H657" s="2"/>
      <c r="I657" s="2"/>
      <c r="J657" s="2"/>
    </row>
    <row r="658">
      <c r="B658" s="2"/>
      <c r="C658" s="2"/>
      <c r="D658" s="2"/>
      <c r="E658" s="2"/>
      <c r="F658" s="2"/>
      <c r="G658" s="2"/>
      <c r="H658" s="2"/>
      <c r="I658" s="2"/>
      <c r="J658" s="2"/>
    </row>
    <row r="659">
      <c r="B659" s="2"/>
      <c r="C659" s="2"/>
      <c r="D659" s="2"/>
      <c r="E659" s="2"/>
      <c r="F659" s="2"/>
      <c r="G659" s="2"/>
      <c r="H659" s="2"/>
      <c r="I659" s="2"/>
      <c r="J659" s="2"/>
    </row>
    <row r="660">
      <c r="B660" s="2"/>
      <c r="C660" s="2"/>
      <c r="D660" s="2"/>
      <c r="E660" s="2"/>
      <c r="F660" s="2"/>
      <c r="G660" s="2"/>
      <c r="H660" s="2"/>
      <c r="I660" s="2"/>
      <c r="J660" s="2"/>
    </row>
    <row r="661">
      <c r="B661" s="2"/>
      <c r="C661" s="2"/>
      <c r="D661" s="2"/>
      <c r="E661" s="2"/>
      <c r="F661" s="2"/>
      <c r="G661" s="2"/>
      <c r="H661" s="2"/>
      <c r="I661" s="2"/>
      <c r="J661" s="2"/>
    </row>
    <row r="662">
      <c r="B662" s="2"/>
      <c r="C662" s="2"/>
      <c r="D662" s="2"/>
      <c r="E662" s="2"/>
      <c r="F662" s="2"/>
      <c r="G662" s="2"/>
      <c r="H662" s="2"/>
      <c r="I662" s="2"/>
      <c r="J662" s="2"/>
    </row>
    <row r="663">
      <c r="B663" s="2"/>
      <c r="C663" s="2"/>
      <c r="D663" s="2"/>
      <c r="E663" s="2"/>
      <c r="F663" s="2"/>
      <c r="G663" s="2"/>
      <c r="H663" s="2"/>
      <c r="I663" s="2"/>
      <c r="J663" s="2"/>
    </row>
    <row r="664">
      <c r="B664" s="2"/>
      <c r="C664" s="2"/>
      <c r="D664" s="2"/>
      <c r="E664" s="2"/>
      <c r="F664" s="2"/>
      <c r="G664" s="2"/>
      <c r="H664" s="2"/>
      <c r="I664" s="2"/>
      <c r="J664" s="2"/>
    </row>
    <row r="665">
      <c r="B665" s="2"/>
      <c r="C665" s="2"/>
      <c r="D665" s="2"/>
      <c r="E665" s="2"/>
      <c r="F665" s="2"/>
      <c r="G665" s="2"/>
      <c r="H665" s="2"/>
      <c r="I665" s="2"/>
      <c r="J665" s="2"/>
    </row>
    <row r="666">
      <c r="B666" s="2"/>
      <c r="C666" s="2"/>
      <c r="D666" s="2"/>
      <c r="E666" s="2"/>
      <c r="F666" s="2"/>
      <c r="G666" s="2"/>
      <c r="H666" s="2"/>
      <c r="I666" s="2"/>
      <c r="J666" s="2"/>
    </row>
    <row r="667">
      <c r="B667" s="2"/>
      <c r="C667" s="2"/>
      <c r="D667" s="2"/>
      <c r="E667" s="2"/>
      <c r="F667" s="2"/>
      <c r="G667" s="2"/>
      <c r="H667" s="2"/>
      <c r="I667" s="2"/>
      <c r="J667" s="2"/>
    </row>
    <row r="668">
      <c r="B668" s="2"/>
      <c r="C668" s="2"/>
      <c r="D668" s="2"/>
      <c r="E668" s="2"/>
      <c r="F668" s="2"/>
      <c r="G668" s="2"/>
      <c r="H668" s="2"/>
      <c r="I668" s="2"/>
      <c r="J668" s="2"/>
    </row>
    <row r="669">
      <c r="B669" s="2"/>
      <c r="C669" s="2"/>
      <c r="D669" s="2"/>
      <c r="E669" s="2"/>
      <c r="F669" s="2"/>
      <c r="G669" s="2"/>
      <c r="H669" s="2"/>
      <c r="I669" s="2"/>
      <c r="J669" s="2"/>
    </row>
    <row r="670">
      <c r="B670" s="2"/>
      <c r="C670" s="2"/>
      <c r="D670" s="2"/>
      <c r="E670" s="2"/>
      <c r="F670" s="2"/>
      <c r="G670" s="2"/>
      <c r="H670" s="2"/>
      <c r="I670" s="2"/>
      <c r="J670" s="2"/>
    </row>
    <row r="671">
      <c r="B671" s="2"/>
      <c r="C671" s="2"/>
      <c r="D671" s="2"/>
      <c r="E671" s="2"/>
      <c r="F671" s="2"/>
      <c r="G671" s="2"/>
      <c r="H671" s="2"/>
      <c r="I671" s="2"/>
      <c r="J671" s="2"/>
    </row>
    <row r="672">
      <c r="B672" s="2"/>
      <c r="C672" s="2"/>
      <c r="D672" s="2"/>
      <c r="E672" s="2"/>
      <c r="F672" s="2"/>
      <c r="G672" s="2"/>
      <c r="H672" s="2"/>
      <c r="I672" s="2"/>
      <c r="J672" s="2"/>
    </row>
    <row r="673">
      <c r="B673" s="2"/>
      <c r="C673" s="2"/>
      <c r="D673" s="2"/>
      <c r="E673" s="2"/>
      <c r="F673" s="2"/>
      <c r="G673" s="2"/>
      <c r="H673" s="2"/>
      <c r="I673" s="2"/>
      <c r="J673" s="2"/>
    </row>
    <row r="674">
      <c r="B674" s="2"/>
      <c r="C674" s="2"/>
      <c r="D674" s="2"/>
      <c r="E674" s="2"/>
      <c r="F674" s="2"/>
      <c r="G674" s="2"/>
      <c r="H674" s="2"/>
      <c r="I674" s="2"/>
      <c r="J674" s="2"/>
    </row>
    <row r="675">
      <c r="B675" s="2"/>
      <c r="C675" s="2"/>
      <c r="D675" s="2"/>
      <c r="E675" s="2"/>
      <c r="F675" s="2"/>
      <c r="G675" s="2"/>
      <c r="H675" s="2"/>
      <c r="I675" s="2"/>
      <c r="J675" s="2"/>
    </row>
    <row r="676">
      <c r="B676" s="2"/>
      <c r="C676" s="2"/>
      <c r="D676" s="2"/>
      <c r="E676" s="2"/>
      <c r="F676" s="2"/>
      <c r="G676" s="2"/>
      <c r="H676" s="2"/>
      <c r="I676" s="2"/>
      <c r="J676" s="2"/>
    </row>
    <row r="677">
      <c r="B677" s="2"/>
      <c r="C677" s="2"/>
      <c r="D677" s="2"/>
      <c r="E677" s="2"/>
      <c r="F677" s="2"/>
      <c r="G677" s="2"/>
      <c r="H677" s="2"/>
      <c r="I677" s="2"/>
      <c r="J677" s="2"/>
    </row>
    <row r="678">
      <c r="B678" s="2"/>
      <c r="C678" s="2"/>
      <c r="D678" s="2"/>
      <c r="E678" s="2"/>
      <c r="F678" s="2"/>
      <c r="G678" s="2"/>
      <c r="H678" s="2"/>
      <c r="I678" s="2"/>
      <c r="J678" s="2"/>
    </row>
    <row r="679">
      <c r="B679" s="2"/>
      <c r="C679" s="2"/>
      <c r="D679" s="2"/>
      <c r="E679" s="2"/>
      <c r="F679" s="2"/>
      <c r="G679" s="2"/>
      <c r="H679" s="2"/>
      <c r="I679" s="2"/>
      <c r="J679" s="2"/>
    </row>
    <row r="680">
      <c r="B680" s="2"/>
      <c r="C680" s="2"/>
      <c r="D680" s="2"/>
      <c r="E680" s="2"/>
      <c r="F680" s="2"/>
      <c r="G680" s="2"/>
      <c r="H680" s="2"/>
      <c r="I680" s="2"/>
      <c r="J680" s="2"/>
    </row>
    <row r="681">
      <c r="B681" s="2"/>
      <c r="C681" s="2"/>
      <c r="D681" s="2"/>
      <c r="E681" s="2"/>
      <c r="F681" s="2"/>
      <c r="G681" s="2"/>
      <c r="H681" s="2"/>
      <c r="I681" s="2"/>
      <c r="J681" s="2"/>
    </row>
    <row r="682">
      <c r="B682" s="2"/>
      <c r="C682" s="2"/>
      <c r="D682" s="2"/>
      <c r="E682" s="2"/>
      <c r="F682" s="2"/>
      <c r="G682" s="2"/>
      <c r="H682" s="2"/>
      <c r="I682" s="2"/>
      <c r="J682" s="2"/>
    </row>
    <row r="683">
      <c r="B683" s="2"/>
      <c r="C683" s="2"/>
      <c r="D683" s="2"/>
      <c r="E683" s="2"/>
      <c r="F683" s="2"/>
      <c r="G683" s="2"/>
      <c r="H683" s="2"/>
      <c r="I683" s="2"/>
      <c r="J683" s="2"/>
    </row>
    <row r="684">
      <c r="B684" s="2"/>
      <c r="C684" s="2"/>
      <c r="D684" s="2"/>
      <c r="E684" s="2"/>
      <c r="F684" s="2"/>
      <c r="G684" s="2"/>
      <c r="H684" s="2"/>
      <c r="I684" s="2"/>
      <c r="J684" s="2"/>
    </row>
    <row r="685">
      <c r="B685" s="2"/>
      <c r="C685" s="2"/>
      <c r="D685" s="2"/>
      <c r="E685" s="2"/>
      <c r="F685" s="2"/>
      <c r="G685" s="2"/>
      <c r="H685" s="2"/>
      <c r="I685" s="2"/>
      <c r="J685" s="2"/>
    </row>
    <row r="686">
      <c r="B686" s="2"/>
      <c r="C686" s="2"/>
      <c r="D686" s="2"/>
      <c r="E686" s="2"/>
      <c r="F686" s="2"/>
      <c r="G686" s="2"/>
      <c r="H686" s="2"/>
      <c r="I686" s="2"/>
      <c r="J686" s="2"/>
    </row>
    <row r="687">
      <c r="B687" s="2"/>
      <c r="C687" s="2"/>
      <c r="D687" s="2"/>
      <c r="E687" s="2"/>
      <c r="F687" s="2"/>
      <c r="G687" s="2"/>
      <c r="H687" s="2"/>
      <c r="I687" s="2"/>
      <c r="J687" s="2"/>
    </row>
    <row r="688">
      <c r="B688" s="2"/>
      <c r="C688" s="2"/>
      <c r="D688" s="2"/>
      <c r="E688" s="2"/>
      <c r="F688" s="2"/>
      <c r="G688" s="2"/>
      <c r="H688" s="2"/>
      <c r="I688" s="2"/>
      <c r="J688" s="2"/>
    </row>
    <row r="689">
      <c r="B689" s="2"/>
      <c r="C689" s="2"/>
      <c r="D689" s="2"/>
      <c r="E689" s="2"/>
      <c r="F689" s="2"/>
      <c r="G689" s="2"/>
      <c r="H689" s="2"/>
      <c r="I689" s="2"/>
      <c r="J689" s="2"/>
    </row>
    <row r="690">
      <c r="B690" s="2"/>
      <c r="C690" s="2"/>
      <c r="D690" s="2"/>
      <c r="E690" s="2"/>
      <c r="F690" s="2"/>
      <c r="G690" s="2"/>
      <c r="H690" s="2"/>
      <c r="I690" s="2"/>
      <c r="J690" s="2"/>
    </row>
    <row r="691">
      <c r="B691" s="2"/>
      <c r="C691" s="2"/>
      <c r="D691" s="2"/>
      <c r="E691" s="2"/>
      <c r="F691" s="2"/>
      <c r="G691" s="2"/>
      <c r="H691" s="2"/>
      <c r="I691" s="2"/>
      <c r="J691" s="2"/>
    </row>
    <row r="692">
      <c r="B692" s="2"/>
      <c r="C692" s="2"/>
      <c r="D692" s="2"/>
      <c r="E692" s="2"/>
      <c r="F692" s="2"/>
      <c r="G692" s="2"/>
      <c r="H692" s="2"/>
      <c r="I692" s="2"/>
      <c r="J692" s="2"/>
    </row>
    <row r="693">
      <c r="B693" s="2"/>
      <c r="C693" s="2"/>
      <c r="D693" s="2"/>
      <c r="E693" s="2"/>
      <c r="F693" s="2"/>
      <c r="G693" s="2"/>
      <c r="H693" s="2"/>
      <c r="I693" s="2"/>
      <c r="J693" s="2"/>
    </row>
    <row r="694">
      <c r="B694" s="2"/>
      <c r="C694" s="2"/>
      <c r="D694" s="2"/>
      <c r="E694" s="2"/>
      <c r="F694" s="2"/>
      <c r="G694" s="2"/>
      <c r="H694" s="2"/>
      <c r="I694" s="2"/>
      <c r="J694" s="2"/>
    </row>
    <row r="695">
      <c r="B695" s="2"/>
      <c r="C695" s="2"/>
      <c r="D695" s="2"/>
      <c r="E695" s="2"/>
      <c r="F695" s="2"/>
      <c r="G695" s="2"/>
      <c r="H695" s="2"/>
      <c r="I695" s="2"/>
      <c r="J695" s="2"/>
    </row>
    <row r="696">
      <c r="B696" s="2"/>
      <c r="C696" s="2"/>
      <c r="D696" s="2"/>
      <c r="E696" s="2"/>
      <c r="F696" s="2"/>
      <c r="G696" s="2"/>
      <c r="H696" s="2"/>
      <c r="I696" s="2"/>
      <c r="J696" s="2"/>
    </row>
    <row r="697">
      <c r="B697" s="2"/>
      <c r="C697" s="2"/>
      <c r="D697" s="2"/>
      <c r="E697" s="2"/>
      <c r="F697" s="2"/>
      <c r="G697" s="2"/>
      <c r="H697" s="2"/>
      <c r="I697" s="2"/>
      <c r="J697" s="2"/>
    </row>
    <row r="698">
      <c r="B698" s="2"/>
      <c r="C698" s="2"/>
      <c r="D698" s="2"/>
      <c r="E698" s="2"/>
      <c r="F698" s="2"/>
      <c r="G698" s="2"/>
      <c r="H698" s="2"/>
      <c r="I698" s="2"/>
      <c r="J698" s="2"/>
    </row>
    <row r="699">
      <c r="B699" s="2"/>
      <c r="C699" s="2"/>
      <c r="D699" s="2"/>
      <c r="E699" s="2"/>
      <c r="F699" s="2"/>
      <c r="G699" s="2"/>
      <c r="H699" s="2"/>
      <c r="I699" s="2"/>
      <c r="J699" s="2"/>
    </row>
    <row r="700">
      <c r="B700" s="2"/>
      <c r="C700" s="2"/>
      <c r="D700" s="2"/>
      <c r="E700" s="2"/>
      <c r="F700" s="2"/>
      <c r="G700" s="2"/>
      <c r="H700" s="2"/>
      <c r="I700" s="2"/>
      <c r="J700" s="2"/>
    </row>
    <row r="701">
      <c r="B701" s="2"/>
      <c r="C701" s="2"/>
      <c r="D701" s="2"/>
      <c r="E701" s="2"/>
      <c r="F701" s="2"/>
      <c r="G701" s="2"/>
      <c r="H701" s="2"/>
      <c r="I701" s="2"/>
      <c r="J701" s="2"/>
    </row>
    <row r="702">
      <c r="B702" s="2"/>
      <c r="C702" s="2"/>
      <c r="D702" s="2"/>
      <c r="E702" s="2"/>
      <c r="F702" s="2"/>
      <c r="G702" s="2"/>
      <c r="H702" s="2"/>
      <c r="I702" s="2"/>
      <c r="J702" s="2"/>
    </row>
    <row r="703">
      <c r="B703" s="2"/>
      <c r="C703" s="2"/>
      <c r="D703" s="2"/>
      <c r="E703" s="2"/>
      <c r="F703" s="2"/>
      <c r="G703" s="2"/>
      <c r="H703" s="2"/>
      <c r="I703" s="2"/>
      <c r="J703" s="2"/>
    </row>
    <row r="704">
      <c r="B704" s="2"/>
      <c r="C704" s="2"/>
      <c r="D704" s="2"/>
      <c r="E704" s="2"/>
      <c r="F704" s="2"/>
      <c r="G704" s="2"/>
      <c r="H704" s="2"/>
      <c r="I704" s="2"/>
      <c r="J704" s="2"/>
    </row>
    <row r="705">
      <c r="B705" s="2"/>
      <c r="C705" s="2"/>
      <c r="D705" s="2"/>
      <c r="E705" s="2"/>
      <c r="F705" s="2"/>
      <c r="G705" s="2"/>
      <c r="H705" s="2"/>
      <c r="I705" s="2"/>
      <c r="J705" s="2"/>
    </row>
    <row r="706">
      <c r="B706" s="2"/>
      <c r="C706" s="2"/>
      <c r="D706" s="2"/>
      <c r="E706" s="2"/>
      <c r="F706" s="2"/>
      <c r="G706" s="2"/>
      <c r="H706" s="2"/>
      <c r="I706" s="2"/>
      <c r="J706" s="2"/>
    </row>
    <row r="707">
      <c r="B707" s="2"/>
      <c r="C707" s="2"/>
      <c r="D707" s="2"/>
      <c r="E707" s="2"/>
      <c r="F707" s="2"/>
      <c r="G707" s="2"/>
      <c r="H707" s="2"/>
      <c r="I707" s="2"/>
      <c r="J707" s="2"/>
    </row>
    <row r="708">
      <c r="B708" s="2"/>
      <c r="C708" s="2"/>
      <c r="D708" s="2"/>
      <c r="E708" s="2"/>
      <c r="F708" s="2"/>
      <c r="G708" s="2"/>
      <c r="H708" s="2"/>
      <c r="I708" s="2"/>
      <c r="J708" s="2"/>
    </row>
    <row r="709">
      <c r="B709" s="2"/>
      <c r="C709" s="2"/>
      <c r="D709" s="2"/>
      <c r="E709" s="2"/>
      <c r="F709" s="2"/>
      <c r="G709" s="2"/>
      <c r="H709" s="2"/>
      <c r="I709" s="2"/>
      <c r="J709" s="2"/>
    </row>
    <row r="710">
      <c r="B710" s="2"/>
      <c r="C710" s="2"/>
      <c r="D710" s="2"/>
      <c r="E710" s="2"/>
      <c r="F710" s="2"/>
      <c r="G710" s="2"/>
      <c r="H710" s="2"/>
      <c r="I710" s="2"/>
      <c r="J710" s="2"/>
    </row>
    <row r="711">
      <c r="B711" s="2"/>
      <c r="C711" s="2"/>
      <c r="D711" s="2"/>
      <c r="E711" s="2"/>
      <c r="F711" s="2"/>
      <c r="G711" s="2"/>
      <c r="H711" s="2"/>
      <c r="I711" s="2"/>
      <c r="J711" s="2"/>
    </row>
    <row r="712">
      <c r="B712" s="2"/>
      <c r="C712" s="2"/>
      <c r="D712" s="2"/>
      <c r="E712" s="2"/>
      <c r="F712" s="2"/>
      <c r="G712" s="2"/>
      <c r="H712" s="2"/>
      <c r="I712" s="2"/>
      <c r="J712" s="2"/>
    </row>
    <row r="713">
      <c r="B713" s="2"/>
      <c r="C713" s="2"/>
      <c r="D713" s="2"/>
      <c r="E713" s="2"/>
      <c r="F713" s="2"/>
      <c r="G713" s="2"/>
      <c r="H713" s="2"/>
      <c r="I713" s="2"/>
      <c r="J713" s="2"/>
    </row>
    <row r="714">
      <c r="B714" s="2"/>
      <c r="C714" s="2"/>
      <c r="D714" s="2"/>
      <c r="E714" s="2"/>
      <c r="F714" s="2"/>
      <c r="G714" s="2"/>
      <c r="H714" s="2"/>
      <c r="I714" s="2"/>
      <c r="J714" s="2"/>
    </row>
    <row r="715">
      <c r="B715" s="2"/>
      <c r="C715" s="2"/>
      <c r="D715" s="2"/>
      <c r="E715" s="2"/>
      <c r="F715" s="2"/>
      <c r="G715" s="2"/>
      <c r="H715" s="2"/>
      <c r="I715" s="2"/>
      <c r="J715" s="2"/>
    </row>
    <row r="716">
      <c r="B716" s="2"/>
      <c r="C716" s="2"/>
      <c r="D716" s="2"/>
      <c r="E716" s="2"/>
      <c r="F716" s="2"/>
      <c r="G716" s="2"/>
      <c r="H716" s="2"/>
      <c r="I716" s="2"/>
      <c r="J716" s="2"/>
    </row>
    <row r="717">
      <c r="B717" s="2"/>
      <c r="C717" s="2"/>
      <c r="D717" s="2"/>
      <c r="E717" s="2"/>
      <c r="F717" s="2"/>
      <c r="G717" s="2"/>
      <c r="H717" s="2"/>
      <c r="I717" s="2"/>
      <c r="J717" s="2"/>
    </row>
    <row r="718">
      <c r="B718" s="2"/>
      <c r="C718" s="2"/>
      <c r="D718" s="2"/>
      <c r="E718" s="2"/>
      <c r="F718" s="2"/>
      <c r="G718" s="2"/>
      <c r="H718" s="2"/>
      <c r="I718" s="2"/>
      <c r="J718" s="2"/>
    </row>
    <row r="719">
      <c r="B719" s="2"/>
      <c r="C719" s="2"/>
      <c r="D719" s="2"/>
      <c r="E719" s="2"/>
      <c r="F719" s="2"/>
      <c r="G719" s="2"/>
      <c r="H719" s="2"/>
      <c r="I719" s="2"/>
      <c r="J719" s="2"/>
    </row>
    <row r="720">
      <c r="B720" s="2"/>
      <c r="C720" s="2"/>
      <c r="D720" s="2"/>
      <c r="E720" s="2"/>
      <c r="F720" s="2"/>
      <c r="G720" s="2"/>
      <c r="H720" s="2"/>
      <c r="I720" s="2"/>
      <c r="J720" s="2"/>
    </row>
    <row r="721">
      <c r="B721" s="2"/>
      <c r="C721" s="2"/>
      <c r="D721" s="2"/>
      <c r="E721" s="2"/>
      <c r="F721" s="2"/>
      <c r="G721" s="2"/>
      <c r="H721" s="2"/>
      <c r="I721" s="2"/>
      <c r="J721" s="2"/>
    </row>
    <row r="722">
      <c r="B722" s="2"/>
      <c r="C722" s="2"/>
      <c r="D722" s="2"/>
      <c r="E722" s="2"/>
      <c r="F722" s="2"/>
      <c r="G722" s="2"/>
      <c r="H722" s="2"/>
      <c r="I722" s="2"/>
      <c r="J722" s="2"/>
    </row>
    <row r="723">
      <c r="B723" s="2"/>
      <c r="C723" s="2"/>
      <c r="D723" s="2"/>
      <c r="E723" s="2"/>
      <c r="F723" s="2"/>
      <c r="G723" s="2"/>
      <c r="H723" s="2"/>
      <c r="I723" s="2"/>
      <c r="J723" s="2"/>
    </row>
    <row r="724">
      <c r="B724" s="2"/>
      <c r="C724" s="2"/>
      <c r="D724" s="2"/>
      <c r="E724" s="2"/>
      <c r="F724" s="2"/>
      <c r="G724" s="2"/>
      <c r="H724" s="2"/>
      <c r="I724" s="2"/>
      <c r="J724" s="2"/>
    </row>
    <row r="725">
      <c r="B725" s="2"/>
      <c r="C725" s="2"/>
      <c r="D725" s="2"/>
      <c r="E725" s="2"/>
      <c r="F725" s="2"/>
      <c r="G725" s="2"/>
      <c r="H725" s="2"/>
      <c r="I725" s="2"/>
      <c r="J725" s="2"/>
    </row>
    <row r="726">
      <c r="B726" s="2"/>
      <c r="C726" s="2"/>
      <c r="D726" s="2"/>
      <c r="E726" s="2"/>
      <c r="F726" s="2"/>
      <c r="G726" s="2"/>
      <c r="H726" s="2"/>
      <c r="I726" s="2"/>
      <c r="J726" s="2"/>
    </row>
    <row r="727">
      <c r="B727" s="2"/>
      <c r="C727" s="2"/>
      <c r="D727" s="2"/>
      <c r="E727" s="2"/>
      <c r="F727" s="2"/>
      <c r="G727" s="2"/>
      <c r="H727" s="2"/>
      <c r="I727" s="2"/>
      <c r="J727" s="2"/>
    </row>
    <row r="728">
      <c r="B728" s="2"/>
      <c r="C728" s="2"/>
      <c r="D728" s="2"/>
      <c r="E728" s="2"/>
      <c r="F728" s="2"/>
      <c r="G728" s="2"/>
      <c r="H728" s="2"/>
      <c r="I728" s="2"/>
      <c r="J728" s="2"/>
    </row>
    <row r="729">
      <c r="B729" s="2"/>
      <c r="C729" s="2"/>
      <c r="D729" s="2"/>
      <c r="E729" s="2"/>
      <c r="F729" s="2"/>
      <c r="G729" s="2"/>
      <c r="H729" s="2"/>
      <c r="I729" s="2"/>
      <c r="J729" s="2"/>
    </row>
    <row r="730">
      <c r="B730" s="2"/>
      <c r="C730" s="2"/>
      <c r="D730" s="2"/>
      <c r="E730" s="2"/>
      <c r="F730" s="2"/>
      <c r="G730" s="2"/>
      <c r="H730" s="2"/>
      <c r="I730" s="2"/>
      <c r="J730" s="2"/>
    </row>
    <row r="731">
      <c r="B731" s="2"/>
      <c r="C731" s="2"/>
      <c r="D731" s="2"/>
      <c r="E731" s="2"/>
      <c r="F731" s="2"/>
      <c r="G731" s="2"/>
      <c r="H731" s="2"/>
      <c r="I731" s="2"/>
      <c r="J731" s="2"/>
    </row>
    <row r="732">
      <c r="B732" s="2"/>
      <c r="C732" s="2"/>
      <c r="D732" s="2"/>
      <c r="E732" s="2"/>
      <c r="F732" s="2"/>
      <c r="G732" s="2"/>
      <c r="H732" s="2"/>
      <c r="I732" s="2"/>
      <c r="J732" s="2"/>
    </row>
    <row r="733">
      <c r="B733" s="2"/>
      <c r="C733" s="2"/>
      <c r="D733" s="2"/>
      <c r="E733" s="2"/>
      <c r="F733" s="2"/>
      <c r="G733" s="2"/>
      <c r="H733" s="2"/>
      <c r="I733" s="2"/>
      <c r="J733" s="2"/>
    </row>
    <row r="734">
      <c r="B734" s="2"/>
      <c r="C734" s="2"/>
      <c r="D734" s="2"/>
      <c r="E734" s="2"/>
      <c r="F734" s="2"/>
      <c r="G734" s="2"/>
      <c r="H734" s="2"/>
      <c r="I734" s="2"/>
      <c r="J734" s="2"/>
    </row>
    <row r="735">
      <c r="B735" s="2"/>
      <c r="C735" s="2"/>
      <c r="D735" s="2"/>
      <c r="E735" s="2"/>
      <c r="F735" s="2"/>
      <c r="G735" s="2"/>
      <c r="H735" s="2"/>
      <c r="I735" s="2"/>
      <c r="J735" s="2"/>
    </row>
    <row r="736">
      <c r="B736" s="2"/>
      <c r="C736" s="2"/>
      <c r="D736" s="2"/>
      <c r="E736" s="2"/>
      <c r="F736" s="2"/>
      <c r="G736" s="2"/>
      <c r="H736" s="2"/>
      <c r="I736" s="2"/>
      <c r="J736" s="2"/>
    </row>
    <row r="737">
      <c r="B737" s="2"/>
      <c r="C737" s="2"/>
      <c r="D737" s="2"/>
      <c r="E737" s="2"/>
      <c r="F737" s="2"/>
      <c r="G737" s="2"/>
      <c r="H737" s="2"/>
      <c r="I737" s="2"/>
      <c r="J737" s="2"/>
    </row>
    <row r="738">
      <c r="B738" s="2"/>
      <c r="C738" s="2"/>
      <c r="D738" s="2"/>
      <c r="E738" s="2"/>
      <c r="F738" s="2"/>
      <c r="G738" s="2"/>
      <c r="H738" s="2"/>
      <c r="I738" s="2"/>
      <c r="J738" s="2"/>
    </row>
    <row r="739">
      <c r="B739" s="2"/>
      <c r="C739" s="2"/>
      <c r="D739" s="2"/>
      <c r="E739" s="2"/>
      <c r="F739" s="2"/>
      <c r="G739" s="2"/>
      <c r="H739" s="2"/>
      <c r="I739" s="2"/>
      <c r="J739" s="2"/>
    </row>
    <row r="740">
      <c r="B740" s="2"/>
      <c r="C740" s="2"/>
      <c r="D740" s="2"/>
      <c r="E740" s="2"/>
      <c r="F740" s="2"/>
      <c r="G740" s="2"/>
      <c r="H740" s="2"/>
      <c r="I740" s="2"/>
      <c r="J740" s="2"/>
    </row>
    <row r="741">
      <c r="B741" s="2"/>
      <c r="C741" s="2"/>
      <c r="D741" s="2"/>
      <c r="E741" s="2"/>
      <c r="F741" s="2"/>
      <c r="G741" s="2"/>
      <c r="H741" s="2"/>
      <c r="I741" s="2"/>
      <c r="J741" s="2"/>
    </row>
    <row r="742">
      <c r="B742" s="2"/>
      <c r="C742" s="2"/>
      <c r="D742" s="2"/>
      <c r="E742" s="2"/>
      <c r="F742" s="2"/>
      <c r="G742" s="2"/>
      <c r="H742" s="2"/>
      <c r="I742" s="2"/>
      <c r="J742" s="2"/>
    </row>
    <row r="743">
      <c r="B743" s="2"/>
      <c r="C743" s="2"/>
      <c r="D743" s="2"/>
      <c r="E743" s="2"/>
      <c r="F743" s="2"/>
      <c r="G743" s="2"/>
      <c r="H743" s="2"/>
      <c r="I743" s="2"/>
      <c r="J743" s="2"/>
    </row>
    <row r="744">
      <c r="B744" s="2"/>
      <c r="C744" s="2"/>
      <c r="D744" s="2"/>
      <c r="E744" s="2"/>
      <c r="F744" s="2"/>
      <c r="G744" s="2"/>
      <c r="H744" s="2"/>
      <c r="I744" s="2"/>
      <c r="J744" s="2"/>
    </row>
    <row r="745">
      <c r="B745" s="2"/>
      <c r="C745" s="2"/>
      <c r="D745" s="2"/>
      <c r="E745" s="2"/>
      <c r="F745" s="2"/>
      <c r="G745" s="2"/>
      <c r="H745" s="2"/>
      <c r="I745" s="2"/>
      <c r="J745" s="2"/>
    </row>
    <row r="746">
      <c r="B746" s="2"/>
      <c r="C746" s="2"/>
      <c r="D746" s="2"/>
      <c r="E746" s="2"/>
      <c r="F746" s="2"/>
      <c r="G746" s="2"/>
      <c r="H746" s="2"/>
      <c r="I746" s="2"/>
      <c r="J746" s="2"/>
    </row>
    <row r="747">
      <c r="B747" s="2"/>
      <c r="C747" s="2"/>
      <c r="D747" s="2"/>
      <c r="E747" s="2"/>
      <c r="F747" s="2"/>
      <c r="G747" s="2"/>
      <c r="H747" s="2"/>
      <c r="I747" s="2"/>
      <c r="J747" s="2"/>
    </row>
    <row r="748">
      <c r="B748" s="2"/>
      <c r="C748" s="2"/>
      <c r="D748" s="2"/>
      <c r="E748" s="2"/>
      <c r="F748" s="2"/>
      <c r="G748" s="2"/>
      <c r="H748" s="2"/>
      <c r="I748" s="2"/>
      <c r="J748" s="2"/>
    </row>
    <row r="749">
      <c r="B749" s="2"/>
      <c r="C749" s="2"/>
      <c r="D749" s="2"/>
      <c r="E749" s="2"/>
      <c r="F749" s="2"/>
      <c r="G749" s="2"/>
      <c r="H749" s="2"/>
      <c r="I749" s="2"/>
      <c r="J749" s="2"/>
    </row>
    <row r="750">
      <c r="B750" s="2"/>
      <c r="C750" s="2"/>
      <c r="D750" s="2"/>
      <c r="E750" s="2"/>
      <c r="F750" s="2"/>
      <c r="G750" s="2"/>
      <c r="H750" s="2"/>
      <c r="I750" s="2"/>
      <c r="J750" s="2"/>
    </row>
    <row r="751">
      <c r="B751" s="2"/>
      <c r="C751" s="2"/>
      <c r="D751" s="2"/>
      <c r="E751" s="2"/>
      <c r="F751" s="2"/>
      <c r="G751" s="2"/>
      <c r="H751" s="2"/>
      <c r="I751" s="2"/>
      <c r="J751" s="2"/>
    </row>
    <row r="752">
      <c r="B752" s="2"/>
      <c r="C752" s="2"/>
      <c r="D752" s="2"/>
      <c r="E752" s="2"/>
      <c r="F752" s="2"/>
      <c r="G752" s="2"/>
      <c r="H752" s="2"/>
      <c r="I752" s="2"/>
      <c r="J752" s="2"/>
    </row>
    <row r="753">
      <c r="B753" s="2"/>
      <c r="C753" s="2"/>
      <c r="D753" s="2"/>
      <c r="E753" s="2"/>
      <c r="F753" s="2"/>
      <c r="G753" s="2"/>
      <c r="H753" s="2"/>
      <c r="I753" s="2"/>
      <c r="J753" s="2"/>
    </row>
    <row r="754">
      <c r="B754" s="2"/>
      <c r="C754" s="2"/>
      <c r="D754" s="2"/>
      <c r="E754" s="2"/>
      <c r="F754" s="2"/>
      <c r="G754" s="2"/>
      <c r="H754" s="2"/>
      <c r="I754" s="2"/>
      <c r="J754" s="2"/>
    </row>
    <row r="755">
      <c r="B755" s="2"/>
      <c r="C755" s="2"/>
      <c r="D755" s="2"/>
      <c r="E755" s="2"/>
      <c r="F755" s="2"/>
      <c r="G755" s="2"/>
      <c r="H755" s="2"/>
      <c r="I755" s="2"/>
      <c r="J755" s="2"/>
    </row>
    <row r="756">
      <c r="B756" s="2"/>
      <c r="C756" s="2"/>
      <c r="D756" s="2"/>
      <c r="E756" s="2"/>
      <c r="F756" s="2"/>
      <c r="G756" s="2"/>
      <c r="H756" s="2"/>
      <c r="I756" s="2"/>
      <c r="J756" s="2"/>
    </row>
    <row r="757">
      <c r="B757" s="2"/>
      <c r="C757" s="2"/>
      <c r="D757" s="2"/>
      <c r="E757" s="2"/>
      <c r="F757" s="2"/>
      <c r="G757" s="2"/>
      <c r="H757" s="2"/>
      <c r="I757" s="2"/>
      <c r="J757" s="2"/>
    </row>
    <row r="758">
      <c r="B758" s="2"/>
      <c r="C758" s="2"/>
      <c r="D758" s="2"/>
      <c r="E758" s="2"/>
      <c r="F758" s="2"/>
      <c r="G758" s="2"/>
      <c r="H758" s="2"/>
      <c r="I758" s="2"/>
      <c r="J758" s="2"/>
    </row>
    <row r="759">
      <c r="B759" s="2"/>
      <c r="C759" s="2"/>
      <c r="D759" s="2"/>
      <c r="E759" s="2"/>
      <c r="F759" s="2"/>
      <c r="G759" s="2"/>
      <c r="H759" s="2"/>
      <c r="I759" s="2"/>
      <c r="J759" s="2"/>
    </row>
    <row r="760">
      <c r="B760" s="2"/>
      <c r="C760" s="2"/>
      <c r="D760" s="2"/>
      <c r="E760" s="2"/>
      <c r="F760" s="2"/>
      <c r="G760" s="2"/>
      <c r="H760" s="2"/>
      <c r="I760" s="2"/>
      <c r="J760" s="2"/>
    </row>
    <row r="761">
      <c r="B761" s="2"/>
      <c r="C761" s="2"/>
      <c r="D761" s="2"/>
      <c r="E761" s="2"/>
      <c r="F761" s="2"/>
      <c r="G761" s="2"/>
      <c r="H761" s="2"/>
      <c r="I761" s="2"/>
      <c r="J761" s="2"/>
    </row>
    <row r="762">
      <c r="B762" s="2"/>
      <c r="C762" s="2"/>
      <c r="D762" s="2"/>
      <c r="E762" s="2"/>
      <c r="F762" s="2"/>
      <c r="G762" s="2"/>
      <c r="H762" s="2"/>
      <c r="I762" s="2"/>
      <c r="J762" s="2"/>
    </row>
    <row r="763">
      <c r="B763" s="2"/>
      <c r="C763" s="2"/>
      <c r="D763" s="2"/>
      <c r="E763" s="2"/>
      <c r="F763" s="2"/>
      <c r="G763" s="2"/>
      <c r="H763" s="2"/>
      <c r="I763" s="2"/>
      <c r="J763" s="2"/>
    </row>
    <row r="764">
      <c r="B764" s="2"/>
      <c r="C764" s="2"/>
      <c r="D764" s="2"/>
      <c r="E764" s="2"/>
      <c r="F764" s="2"/>
      <c r="G764" s="2"/>
      <c r="H764" s="2"/>
      <c r="I764" s="2"/>
      <c r="J764" s="2"/>
    </row>
    <row r="765">
      <c r="B765" s="2"/>
      <c r="C765" s="2"/>
      <c r="D765" s="2"/>
      <c r="E765" s="2"/>
      <c r="F765" s="2"/>
      <c r="G765" s="2"/>
      <c r="H765" s="2"/>
      <c r="I765" s="2"/>
      <c r="J765" s="2"/>
    </row>
    <row r="766">
      <c r="B766" s="2"/>
      <c r="C766" s="2"/>
      <c r="D766" s="2"/>
      <c r="E766" s="2"/>
      <c r="F766" s="2"/>
      <c r="G766" s="2"/>
      <c r="H766" s="2"/>
      <c r="I766" s="2"/>
      <c r="J766" s="2"/>
    </row>
    <row r="767">
      <c r="B767" s="2"/>
      <c r="C767" s="2"/>
      <c r="D767" s="2"/>
      <c r="E767" s="2"/>
      <c r="F767" s="2"/>
      <c r="G767" s="2"/>
      <c r="H767" s="2"/>
      <c r="I767" s="2"/>
      <c r="J767" s="2"/>
    </row>
    <row r="768">
      <c r="B768" s="2"/>
      <c r="C768" s="2"/>
      <c r="D768" s="2"/>
      <c r="E768" s="2"/>
      <c r="F768" s="2"/>
      <c r="G768" s="2"/>
      <c r="H768" s="2"/>
      <c r="I768" s="2"/>
      <c r="J768" s="2"/>
    </row>
    <row r="769">
      <c r="B769" s="2"/>
      <c r="C769" s="2"/>
      <c r="D769" s="2"/>
      <c r="E769" s="2"/>
      <c r="F769" s="2"/>
      <c r="G769" s="2"/>
      <c r="H769" s="2"/>
      <c r="I769" s="2"/>
      <c r="J769" s="2"/>
    </row>
    <row r="770">
      <c r="B770" s="2"/>
      <c r="C770" s="2"/>
      <c r="D770" s="2"/>
      <c r="E770" s="2"/>
      <c r="F770" s="2"/>
      <c r="G770" s="2"/>
      <c r="H770" s="2"/>
      <c r="I770" s="2"/>
      <c r="J770" s="2"/>
    </row>
    <row r="771">
      <c r="B771" s="2"/>
      <c r="C771" s="2"/>
      <c r="D771" s="2"/>
      <c r="E771" s="2"/>
      <c r="F771" s="2"/>
      <c r="G771" s="2"/>
      <c r="H771" s="2"/>
      <c r="I771" s="2"/>
      <c r="J771" s="2"/>
    </row>
    <row r="772">
      <c r="B772" s="2"/>
      <c r="C772" s="2"/>
      <c r="D772" s="2"/>
      <c r="E772" s="2"/>
      <c r="F772" s="2"/>
      <c r="G772" s="2"/>
      <c r="H772" s="2"/>
      <c r="I772" s="2"/>
      <c r="J772" s="2"/>
    </row>
    <row r="773">
      <c r="B773" s="2"/>
      <c r="C773" s="2"/>
      <c r="D773" s="2"/>
      <c r="E773" s="2"/>
      <c r="F773" s="2"/>
      <c r="G773" s="2"/>
      <c r="H773" s="2"/>
      <c r="I773" s="2"/>
      <c r="J773" s="2"/>
    </row>
    <row r="774">
      <c r="B774" s="2"/>
      <c r="C774" s="2"/>
      <c r="D774" s="2"/>
      <c r="E774" s="2"/>
      <c r="F774" s="2"/>
      <c r="G774" s="2"/>
      <c r="H774" s="2"/>
      <c r="I774" s="2"/>
      <c r="J774" s="2"/>
    </row>
    <row r="775">
      <c r="B775" s="2"/>
      <c r="C775" s="2"/>
      <c r="D775" s="2"/>
      <c r="E775" s="2"/>
      <c r="F775" s="2"/>
      <c r="G775" s="2"/>
      <c r="H775" s="2"/>
      <c r="I775" s="2"/>
      <c r="J775" s="2"/>
    </row>
    <row r="776">
      <c r="B776" s="2"/>
      <c r="C776" s="2"/>
      <c r="D776" s="2"/>
      <c r="E776" s="2"/>
      <c r="F776" s="2"/>
      <c r="G776" s="2"/>
      <c r="H776" s="2"/>
      <c r="I776" s="2"/>
      <c r="J776" s="2"/>
    </row>
    <row r="777">
      <c r="B777" s="2"/>
      <c r="C777" s="2"/>
      <c r="D777" s="2"/>
      <c r="E777" s="2"/>
      <c r="F777" s="2"/>
      <c r="G777" s="2"/>
      <c r="H777" s="2"/>
      <c r="I777" s="2"/>
      <c r="J777" s="2"/>
    </row>
    <row r="778">
      <c r="B778" s="2"/>
      <c r="C778" s="2"/>
      <c r="D778" s="2"/>
      <c r="E778" s="2"/>
      <c r="F778" s="2"/>
      <c r="G778" s="2"/>
      <c r="H778" s="2"/>
      <c r="I778" s="2"/>
      <c r="J778" s="2"/>
    </row>
    <row r="779">
      <c r="B779" s="2"/>
      <c r="C779" s="2"/>
      <c r="D779" s="2"/>
      <c r="E779" s="2"/>
      <c r="F779" s="2"/>
      <c r="G779" s="2"/>
      <c r="H779" s="2"/>
      <c r="I779" s="2"/>
      <c r="J779" s="2"/>
    </row>
    <row r="780">
      <c r="B780" s="2"/>
      <c r="C780" s="2"/>
      <c r="D780" s="2"/>
      <c r="E780" s="2"/>
      <c r="F780" s="2"/>
      <c r="G780" s="2"/>
      <c r="H780" s="2"/>
      <c r="I780" s="2"/>
      <c r="J780" s="2"/>
    </row>
    <row r="781">
      <c r="B781" s="2"/>
      <c r="C781" s="2"/>
      <c r="D781" s="2"/>
      <c r="E781" s="2"/>
      <c r="F781" s="2"/>
      <c r="G781" s="2"/>
      <c r="H781" s="2"/>
      <c r="I781" s="2"/>
      <c r="J781" s="2"/>
    </row>
    <row r="782">
      <c r="B782" s="2"/>
      <c r="C782" s="2"/>
      <c r="D782" s="2"/>
      <c r="E782" s="2"/>
      <c r="F782" s="2"/>
      <c r="G782" s="2"/>
      <c r="H782" s="2"/>
      <c r="I782" s="2"/>
      <c r="J782" s="2"/>
    </row>
    <row r="783">
      <c r="B783" s="2"/>
      <c r="C783" s="2"/>
      <c r="D783" s="2"/>
      <c r="E783" s="2"/>
      <c r="F783" s="2"/>
      <c r="G783" s="2"/>
      <c r="H783" s="2"/>
      <c r="I783" s="2"/>
      <c r="J783" s="2"/>
    </row>
    <row r="784">
      <c r="B784" s="2"/>
      <c r="C784" s="2"/>
      <c r="D784" s="2"/>
      <c r="E784" s="2"/>
      <c r="F784" s="2"/>
      <c r="G784" s="2"/>
      <c r="H784" s="2"/>
      <c r="I784" s="2"/>
      <c r="J784" s="2"/>
    </row>
    <row r="785">
      <c r="B785" s="2"/>
      <c r="C785" s="2"/>
      <c r="D785" s="2"/>
      <c r="E785" s="2"/>
      <c r="F785" s="2"/>
      <c r="G785" s="2"/>
      <c r="H785" s="2"/>
      <c r="I785" s="2"/>
      <c r="J785" s="2"/>
    </row>
    <row r="786">
      <c r="B786" s="2"/>
      <c r="C786" s="2"/>
      <c r="D786" s="2"/>
      <c r="E786" s="2"/>
      <c r="F786" s="2"/>
      <c r="G786" s="2"/>
      <c r="H786" s="2"/>
      <c r="I786" s="2"/>
      <c r="J786" s="2"/>
    </row>
    <row r="787">
      <c r="B787" s="2"/>
      <c r="C787" s="2"/>
      <c r="D787" s="2"/>
      <c r="E787" s="2"/>
      <c r="F787" s="2"/>
      <c r="G787" s="2"/>
      <c r="H787" s="2"/>
      <c r="I787" s="2"/>
      <c r="J787" s="2"/>
    </row>
    <row r="788">
      <c r="B788" s="2"/>
      <c r="C788" s="2"/>
      <c r="D788" s="2"/>
      <c r="E788" s="2"/>
      <c r="F788" s="2"/>
      <c r="G788" s="2"/>
      <c r="H788" s="2"/>
      <c r="I788" s="2"/>
      <c r="J788" s="2"/>
    </row>
    <row r="789">
      <c r="B789" s="2"/>
      <c r="C789" s="2"/>
      <c r="D789" s="2"/>
      <c r="E789" s="2"/>
      <c r="F789" s="2"/>
      <c r="G789" s="2"/>
      <c r="H789" s="2"/>
      <c r="I789" s="2"/>
      <c r="J789" s="2"/>
    </row>
    <row r="790">
      <c r="B790" s="2"/>
      <c r="C790" s="2"/>
      <c r="D790" s="2"/>
      <c r="E790" s="2"/>
      <c r="F790" s="2"/>
      <c r="G790" s="2"/>
      <c r="H790" s="2"/>
      <c r="I790" s="2"/>
      <c r="J790" s="2"/>
    </row>
    <row r="791">
      <c r="B791" s="2"/>
      <c r="C791" s="2"/>
      <c r="D791" s="2"/>
      <c r="E791" s="2"/>
      <c r="F791" s="2"/>
      <c r="G791" s="2"/>
      <c r="H791" s="2"/>
      <c r="I791" s="2"/>
      <c r="J791" s="2"/>
    </row>
    <row r="792">
      <c r="B792" s="2"/>
      <c r="C792" s="2"/>
      <c r="D792" s="2"/>
      <c r="E792" s="2"/>
      <c r="F792" s="2"/>
      <c r="G792" s="2"/>
      <c r="H792" s="2"/>
      <c r="I792" s="2"/>
      <c r="J792" s="2"/>
    </row>
    <row r="793">
      <c r="B793" s="2"/>
      <c r="C793" s="2"/>
      <c r="D793" s="2"/>
      <c r="E793" s="2"/>
      <c r="F793" s="2"/>
      <c r="G793" s="2"/>
      <c r="H793" s="2"/>
      <c r="I793" s="2"/>
      <c r="J793" s="2"/>
    </row>
    <row r="794">
      <c r="B794" s="2"/>
      <c r="C794" s="2"/>
      <c r="D794" s="2"/>
      <c r="E794" s="2"/>
      <c r="F794" s="2"/>
      <c r="G794" s="2"/>
      <c r="H794" s="2"/>
      <c r="I794" s="2"/>
      <c r="J794" s="2"/>
    </row>
    <row r="795">
      <c r="B795" s="2"/>
      <c r="C795" s="2"/>
      <c r="D795" s="2"/>
      <c r="E795" s="2"/>
      <c r="F795" s="2"/>
      <c r="G795" s="2"/>
      <c r="H795" s="2"/>
      <c r="I795" s="2"/>
      <c r="J795" s="2"/>
    </row>
    <row r="796">
      <c r="B796" s="2"/>
      <c r="C796" s="2"/>
      <c r="D796" s="2"/>
      <c r="E796" s="2"/>
      <c r="F796" s="2"/>
      <c r="G796" s="2"/>
      <c r="H796" s="2"/>
      <c r="I796" s="2"/>
      <c r="J796" s="2"/>
    </row>
    <row r="797">
      <c r="B797" s="2"/>
      <c r="C797" s="2"/>
      <c r="D797" s="2"/>
      <c r="E797" s="2"/>
      <c r="F797" s="2"/>
      <c r="G797" s="2"/>
      <c r="H797" s="2"/>
      <c r="I797" s="2"/>
      <c r="J797" s="2"/>
    </row>
    <row r="798">
      <c r="B798" s="2"/>
      <c r="C798" s="2"/>
      <c r="D798" s="2"/>
      <c r="E798" s="2"/>
      <c r="F798" s="2"/>
      <c r="G798" s="2"/>
      <c r="H798" s="2"/>
      <c r="I798" s="2"/>
      <c r="J798" s="2"/>
    </row>
    <row r="799">
      <c r="B799" s="2"/>
      <c r="C799" s="2"/>
      <c r="D799" s="2"/>
      <c r="E799" s="2"/>
      <c r="F799" s="2"/>
      <c r="G799" s="2"/>
      <c r="H799" s="2"/>
      <c r="I799" s="2"/>
      <c r="J799" s="2"/>
    </row>
    <row r="800">
      <c r="B800" s="2"/>
      <c r="C800" s="2"/>
      <c r="D800" s="2"/>
      <c r="E800" s="2"/>
      <c r="F800" s="2"/>
      <c r="G800" s="2"/>
      <c r="H800" s="2"/>
      <c r="I800" s="2"/>
      <c r="J800" s="2"/>
    </row>
    <row r="801">
      <c r="B801" s="2"/>
      <c r="C801" s="2"/>
      <c r="D801" s="2"/>
      <c r="E801" s="2"/>
      <c r="F801" s="2"/>
      <c r="G801" s="2"/>
      <c r="H801" s="2"/>
      <c r="I801" s="2"/>
      <c r="J801" s="2"/>
    </row>
    <row r="802">
      <c r="B802" s="2"/>
      <c r="C802" s="2"/>
      <c r="D802" s="2"/>
      <c r="E802" s="2"/>
      <c r="F802" s="2"/>
      <c r="G802" s="2"/>
      <c r="H802" s="2"/>
      <c r="I802" s="2"/>
      <c r="J802" s="2"/>
    </row>
    <row r="803">
      <c r="B803" s="2"/>
      <c r="C803" s="2"/>
      <c r="D803" s="2"/>
      <c r="E803" s="2"/>
      <c r="F803" s="2"/>
      <c r="G803" s="2"/>
      <c r="H803" s="2"/>
      <c r="I803" s="2"/>
      <c r="J803" s="2"/>
    </row>
    <row r="804">
      <c r="B804" s="2"/>
      <c r="C804" s="2"/>
      <c r="D804" s="2"/>
      <c r="E804" s="2"/>
      <c r="F804" s="2"/>
      <c r="G804" s="2"/>
      <c r="H804" s="2"/>
      <c r="I804" s="2"/>
      <c r="J804" s="2"/>
    </row>
    <row r="805">
      <c r="B805" s="2"/>
      <c r="C805" s="2"/>
      <c r="D805" s="2"/>
      <c r="E805" s="2"/>
      <c r="F805" s="2"/>
      <c r="G805" s="2"/>
      <c r="H805" s="2"/>
      <c r="I805" s="2"/>
      <c r="J805" s="2"/>
    </row>
    <row r="806">
      <c r="B806" s="2"/>
      <c r="C806" s="2"/>
      <c r="D806" s="2"/>
      <c r="E806" s="2"/>
      <c r="F806" s="2"/>
      <c r="G806" s="2"/>
      <c r="H806" s="2"/>
      <c r="I806" s="2"/>
      <c r="J806" s="2"/>
    </row>
    <row r="807">
      <c r="B807" s="2"/>
      <c r="C807" s="2"/>
      <c r="D807" s="2"/>
      <c r="E807" s="2"/>
      <c r="F807" s="2"/>
      <c r="G807" s="2"/>
      <c r="H807" s="2"/>
      <c r="I807" s="2"/>
      <c r="J807" s="2"/>
    </row>
    <row r="808">
      <c r="B808" s="2"/>
      <c r="C808" s="2"/>
      <c r="D808" s="2"/>
      <c r="E808" s="2"/>
      <c r="F808" s="2"/>
      <c r="G808" s="2"/>
      <c r="H808" s="2"/>
      <c r="I808" s="2"/>
      <c r="J808" s="2"/>
    </row>
    <row r="809">
      <c r="B809" s="2"/>
      <c r="C809" s="2"/>
      <c r="D809" s="2"/>
      <c r="E809" s="2"/>
      <c r="F809" s="2"/>
      <c r="G809" s="2"/>
      <c r="H809" s="2"/>
      <c r="I809" s="2"/>
      <c r="J809" s="2"/>
    </row>
    <row r="810">
      <c r="B810" s="2"/>
      <c r="C810" s="2"/>
      <c r="D810" s="2"/>
      <c r="E810" s="2"/>
      <c r="F810" s="2"/>
      <c r="G810" s="2"/>
      <c r="H810" s="2"/>
      <c r="I810" s="2"/>
      <c r="J810" s="2"/>
    </row>
    <row r="811">
      <c r="B811" s="2"/>
      <c r="C811" s="2"/>
      <c r="D811" s="2"/>
      <c r="E811" s="2"/>
      <c r="F811" s="2"/>
      <c r="G811" s="2"/>
      <c r="H811" s="2"/>
      <c r="I811" s="2"/>
      <c r="J811" s="2"/>
    </row>
    <row r="812">
      <c r="B812" s="2"/>
      <c r="C812" s="2"/>
      <c r="D812" s="2"/>
      <c r="E812" s="2"/>
      <c r="F812" s="2"/>
      <c r="G812" s="2"/>
      <c r="H812" s="2"/>
      <c r="I812" s="2"/>
      <c r="J812" s="2"/>
    </row>
    <row r="813">
      <c r="B813" s="2"/>
      <c r="C813" s="2"/>
      <c r="D813" s="2"/>
      <c r="E813" s="2"/>
      <c r="F813" s="2"/>
      <c r="G813" s="2"/>
      <c r="H813" s="2"/>
      <c r="I813" s="2"/>
      <c r="J813" s="2"/>
    </row>
    <row r="814">
      <c r="B814" s="2"/>
      <c r="C814" s="2"/>
      <c r="D814" s="2"/>
      <c r="E814" s="2"/>
      <c r="F814" s="2"/>
      <c r="G814" s="2"/>
      <c r="H814" s="2"/>
      <c r="I814" s="2"/>
      <c r="J814" s="2"/>
    </row>
    <row r="815">
      <c r="B815" s="2"/>
      <c r="C815" s="2"/>
      <c r="D815" s="2"/>
      <c r="E815" s="2"/>
      <c r="F815" s="2"/>
      <c r="G815" s="2"/>
      <c r="H815" s="2"/>
      <c r="I815" s="2"/>
      <c r="J815" s="2"/>
    </row>
    <row r="816">
      <c r="B816" s="2"/>
      <c r="C816" s="2"/>
      <c r="D816" s="2"/>
      <c r="E816" s="2"/>
      <c r="F816" s="2"/>
      <c r="G816" s="2"/>
      <c r="H816" s="2"/>
      <c r="I816" s="2"/>
      <c r="J816" s="2"/>
    </row>
    <row r="817">
      <c r="B817" s="2"/>
      <c r="C817" s="2"/>
      <c r="D817" s="2"/>
      <c r="E817" s="2"/>
      <c r="F817" s="2"/>
      <c r="G817" s="2"/>
      <c r="H817" s="2"/>
      <c r="I817" s="2"/>
      <c r="J817" s="2"/>
    </row>
    <row r="818">
      <c r="B818" s="2"/>
      <c r="C818" s="2"/>
      <c r="D818" s="2"/>
      <c r="E818" s="2"/>
      <c r="F818" s="2"/>
      <c r="G818" s="2"/>
      <c r="H818" s="2"/>
      <c r="I818" s="2"/>
      <c r="J818" s="2"/>
    </row>
    <row r="819">
      <c r="B819" s="2"/>
      <c r="C819" s="2"/>
      <c r="D819" s="2"/>
      <c r="E819" s="2"/>
      <c r="F819" s="2"/>
      <c r="G819" s="2"/>
      <c r="H819" s="2"/>
      <c r="I819" s="2"/>
      <c r="J819" s="2"/>
    </row>
    <row r="820">
      <c r="B820" s="2"/>
      <c r="C820" s="2"/>
      <c r="D820" s="2"/>
      <c r="E820" s="2"/>
      <c r="F820" s="2"/>
      <c r="G820" s="2"/>
      <c r="H820" s="2"/>
      <c r="I820" s="2"/>
      <c r="J820" s="2"/>
    </row>
    <row r="821">
      <c r="B821" s="2"/>
      <c r="C821" s="2"/>
      <c r="D821" s="2"/>
      <c r="E821" s="2"/>
      <c r="F821" s="2"/>
      <c r="G821" s="2"/>
      <c r="H821" s="2"/>
      <c r="I821" s="2"/>
      <c r="J821" s="2"/>
    </row>
    <row r="822">
      <c r="B822" s="2"/>
      <c r="C822" s="2"/>
      <c r="D822" s="2"/>
      <c r="E822" s="2"/>
      <c r="F822" s="2"/>
      <c r="G822" s="2"/>
      <c r="H822" s="2"/>
      <c r="I822" s="2"/>
      <c r="J822" s="2"/>
    </row>
    <row r="823">
      <c r="B823" s="2"/>
      <c r="C823" s="2"/>
      <c r="D823" s="2"/>
      <c r="E823" s="2"/>
      <c r="F823" s="2"/>
      <c r="G823" s="2"/>
      <c r="H823" s="2"/>
      <c r="I823" s="2"/>
      <c r="J823" s="2"/>
    </row>
    <row r="824">
      <c r="B824" s="2"/>
      <c r="C824" s="2"/>
      <c r="D824" s="2"/>
      <c r="E824" s="2"/>
      <c r="F824" s="2"/>
      <c r="G824" s="2"/>
      <c r="H824" s="2"/>
      <c r="I824" s="2"/>
      <c r="J824" s="2"/>
    </row>
    <row r="825">
      <c r="B825" s="2"/>
      <c r="C825" s="2"/>
      <c r="D825" s="2"/>
      <c r="E825" s="2"/>
      <c r="F825" s="2"/>
      <c r="G825" s="2"/>
      <c r="H825" s="2"/>
      <c r="I825" s="2"/>
      <c r="J825" s="2"/>
    </row>
    <row r="826">
      <c r="B826" s="2"/>
      <c r="C826" s="2"/>
      <c r="D826" s="2"/>
      <c r="E826" s="2"/>
      <c r="F826" s="2"/>
      <c r="G826" s="2"/>
      <c r="H826" s="2"/>
      <c r="I826" s="2"/>
      <c r="J826" s="2"/>
    </row>
    <row r="827">
      <c r="B827" s="2"/>
      <c r="C827" s="2"/>
      <c r="D827" s="2"/>
      <c r="E827" s="2"/>
      <c r="F827" s="2"/>
      <c r="G827" s="2"/>
      <c r="H827" s="2"/>
      <c r="I827" s="2"/>
      <c r="J827" s="2"/>
    </row>
    <row r="828">
      <c r="B828" s="2"/>
      <c r="C828" s="2"/>
      <c r="D828" s="2"/>
      <c r="E828" s="2"/>
      <c r="F828" s="2"/>
      <c r="G828" s="2"/>
      <c r="H828" s="2"/>
      <c r="I828" s="2"/>
      <c r="J828" s="2"/>
    </row>
    <row r="829">
      <c r="B829" s="2"/>
      <c r="C829" s="2"/>
      <c r="D829" s="2"/>
      <c r="E829" s="2"/>
      <c r="F829" s="2"/>
      <c r="G829" s="2"/>
      <c r="H829" s="2"/>
      <c r="I829" s="2"/>
      <c r="J829" s="2"/>
    </row>
    <row r="830">
      <c r="B830" s="2"/>
      <c r="C830" s="2"/>
      <c r="D830" s="2"/>
      <c r="E830" s="2"/>
      <c r="F830" s="2"/>
      <c r="G830" s="2"/>
      <c r="H830" s="2"/>
      <c r="I830" s="2"/>
      <c r="J830" s="2"/>
    </row>
    <row r="831">
      <c r="B831" s="2"/>
      <c r="C831" s="2"/>
      <c r="D831" s="2"/>
      <c r="E831" s="2"/>
      <c r="F831" s="2"/>
      <c r="G831" s="2"/>
      <c r="H831" s="2"/>
      <c r="I831" s="2"/>
      <c r="J831" s="2"/>
    </row>
    <row r="832">
      <c r="B832" s="2"/>
      <c r="C832" s="2"/>
      <c r="D832" s="2"/>
      <c r="E832" s="2"/>
      <c r="F832" s="2"/>
      <c r="G832" s="2"/>
      <c r="H832" s="2"/>
      <c r="I832" s="2"/>
      <c r="J832" s="2"/>
    </row>
    <row r="833">
      <c r="B833" s="2"/>
      <c r="C833" s="2"/>
      <c r="D833" s="2"/>
      <c r="E833" s="2"/>
      <c r="F833" s="2"/>
      <c r="G833" s="2"/>
      <c r="H833" s="2"/>
      <c r="I833" s="2"/>
      <c r="J833" s="2"/>
    </row>
    <row r="834">
      <c r="B834" s="2"/>
      <c r="C834" s="2"/>
      <c r="D834" s="2"/>
      <c r="E834" s="2"/>
      <c r="F834" s="2"/>
      <c r="G834" s="2"/>
      <c r="H834" s="2"/>
      <c r="I834" s="2"/>
      <c r="J834" s="2"/>
    </row>
    <row r="835">
      <c r="B835" s="2"/>
      <c r="C835" s="2"/>
      <c r="D835" s="2"/>
      <c r="E835" s="2"/>
      <c r="F835" s="2"/>
      <c r="G835" s="2"/>
      <c r="H835" s="2"/>
      <c r="I835" s="2"/>
      <c r="J835" s="2"/>
    </row>
    <row r="836">
      <c r="B836" s="2"/>
      <c r="C836" s="2"/>
      <c r="D836" s="2"/>
      <c r="E836" s="2"/>
      <c r="F836" s="2"/>
      <c r="G836" s="2"/>
      <c r="H836" s="2"/>
      <c r="I836" s="2"/>
      <c r="J836" s="2"/>
    </row>
    <row r="837">
      <c r="B837" s="2"/>
      <c r="C837" s="2"/>
      <c r="D837" s="2"/>
      <c r="E837" s="2"/>
      <c r="F837" s="2"/>
      <c r="G837" s="2"/>
      <c r="H837" s="2"/>
      <c r="I837" s="2"/>
      <c r="J837" s="2"/>
    </row>
    <row r="838">
      <c r="B838" s="2"/>
      <c r="C838" s="2"/>
      <c r="D838" s="2"/>
      <c r="E838" s="2"/>
      <c r="F838" s="2"/>
      <c r="G838" s="2"/>
      <c r="H838" s="2"/>
      <c r="I838" s="2"/>
      <c r="J838" s="2"/>
    </row>
    <row r="839">
      <c r="B839" s="2"/>
      <c r="C839" s="2"/>
      <c r="D839" s="2"/>
      <c r="E839" s="2"/>
      <c r="F839" s="2"/>
      <c r="G839" s="2"/>
      <c r="H839" s="2"/>
      <c r="I839" s="2"/>
      <c r="J839" s="2"/>
    </row>
    <row r="840">
      <c r="B840" s="2"/>
      <c r="C840" s="2"/>
      <c r="D840" s="2"/>
      <c r="E840" s="2"/>
      <c r="F840" s="2"/>
      <c r="G840" s="2"/>
      <c r="H840" s="2"/>
      <c r="I840" s="2"/>
      <c r="J840" s="2"/>
    </row>
    <row r="841">
      <c r="B841" s="2"/>
      <c r="C841" s="2"/>
      <c r="D841" s="2"/>
      <c r="E841" s="2"/>
      <c r="F841" s="2"/>
      <c r="G841" s="2"/>
      <c r="H841" s="2"/>
      <c r="I841" s="2"/>
      <c r="J841" s="2"/>
    </row>
    <row r="842">
      <c r="B842" s="2"/>
      <c r="C842" s="2"/>
      <c r="D842" s="2"/>
      <c r="E842" s="2"/>
      <c r="F842" s="2"/>
      <c r="G842" s="2"/>
      <c r="H842" s="2"/>
      <c r="I842" s="2"/>
      <c r="J842" s="2"/>
    </row>
    <row r="843">
      <c r="B843" s="2"/>
      <c r="C843" s="2"/>
      <c r="D843" s="2"/>
      <c r="E843" s="2"/>
      <c r="F843" s="2"/>
      <c r="G843" s="2"/>
      <c r="H843" s="2"/>
      <c r="I843" s="2"/>
      <c r="J843" s="2"/>
    </row>
    <row r="844">
      <c r="B844" s="2"/>
      <c r="C844" s="2"/>
      <c r="D844" s="2"/>
      <c r="E844" s="2"/>
      <c r="F844" s="2"/>
      <c r="G844" s="2"/>
      <c r="H844" s="2"/>
      <c r="I844" s="2"/>
      <c r="J844" s="2"/>
    </row>
    <row r="845">
      <c r="B845" s="2"/>
      <c r="C845" s="2"/>
      <c r="D845" s="2"/>
      <c r="E845" s="2"/>
      <c r="F845" s="2"/>
      <c r="G845" s="2"/>
      <c r="H845" s="2"/>
      <c r="I845" s="2"/>
      <c r="J845" s="2"/>
    </row>
    <row r="846">
      <c r="B846" s="2"/>
      <c r="C846" s="2"/>
      <c r="D846" s="2"/>
      <c r="E846" s="2"/>
      <c r="F846" s="2"/>
      <c r="G846" s="2"/>
      <c r="H846" s="2"/>
      <c r="I846" s="2"/>
      <c r="J846" s="2"/>
    </row>
    <row r="847">
      <c r="B847" s="2"/>
      <c r="C847" s="2"/>
      <c r="D847" s="2"/>
      <c r="E847" s="2"/>
      <c r="F847" s="2"/>
      <c r="G847" s="2"/>
      <c r="H847" s="2"/>
      <c r="I847" s="2"/>
      <c r="J847" s="2"/>
    </row>
    <row r="848">
      <c r="B848" s="2"/>
      <c r="C848" s="2"/>
      <c r="D848" s="2"/>
      <c r="E848" s="2"/>
      <c r="F848" s="2"/>
      <c r="G848" s="2"/>
      <c r="H848" s="2"/>
      <c r="I848" s="2"/>
      <c r="J848" s="2"/>
    </row>
    <row r="849">
      <c r="B849" s="2"/>
      <c r="C849" s="2"/>
      <c r="D849" s="2"/>
      <c r="E849" s="2"/>
      <c r="F849" s="2"/>
      <c r="G849" s="2"/>
      <c r="H849" s="2"/>
      <c r="I849" s="2"/>
      <c r="J849" s="2"/>
    </row>
    <row r="850">
      <c r="B850" s="2"/>
      <c r="C850" s="2"/>
      <c r="D850" s="2"/>
      <c r="E850" s="2"/>
      <c r="F850" s="2"/>
      <c r="G850" s="2"/>
      <c r="H850" s="2"/>
      <c r="I850" s="2"/>
      <c r="J850" s="2"/>
    </row>
    <row r="851">
      <c r="B851" s="2"/>
      <c r="C851" s="2"/>
      <c r="D851" s="2"/>
      <c r="E851" s="2"/>
      <c r="F851" s="2"/>
      <c r="G851" s="2"/>
      <c r="H851" s="2"/>
      <c r="I851" s="2"/>
      <c r="J851" s="2"/>
    </row>
    <row r="852">
      <c r="B852" s="2"/>
      <c r="C852" s="2"/>
      <c r="D852" s="2"/>
      <c r="E852" s="2"/>
      <c r="F852" s="2"/>
      <c r="G852" s="2"/>
      <c r="H852" s="2"/>
      <c r="I852" s="2"/>
      <c r="J852" s="2"/>
    </row>
    <row r="853">
      <c r="B853" s="2"/>
      <c r="C853" s="2"/>
      <c r="D853" s="2"/>
      <c r="E853" s="2"/>
      <c r="F853" s="2"/>
      <c r="G853" s="2"/>
      <c r="H853" s="2"/>
      <c r="I853" s="2"/>
      <c r="J853" s="2"/>
    </row>
    <row r="854">
      <c r="B854" s="2"/>
      <c r="C854" s="2"/>
      <c r="D854" s="2"/>
      <c r="E854" s="2"/>
      <c r="F854" s="2"/>
      <c r="G854" s="2"/>
      <c r="H854" s="2"/>
      <c r="I854" s="2"/>
      <c r="J854" s="2"/>
    </row>
    <row r="855">
      <c r="B855" s="2"/>
      <c r="C855" s="2"/>
      <c r="D855" s="2"/>
      <c r="E855" s="2"/>
      <c r="F855" s="2"/>
      <c r="G855" s="2"/>
      <c r="H855" s="2"/>
      <c r="I855" s="2"/>
      <c r="J855" s="2"/>
    </row>
    <row r="856">
      <c r="B856" s="2"/>
      <c r="C856" s="2"/>
      <c r="D856" s="2"/>
      <c r="E856" s="2"/>
      <c r="F856" s="2"/>
      <c r="G856" s="2"/>
      <c r="H856" s="2"/>
      <c r="I856" s="2"/>
      <c r="J856" s="2"/>
    </row>
    <row r="857">
      <c r="B857" s="2"/>
      <c r="C857" s="2"/>
      <c r="D857" s="2"/>
      <c r="E857" s="2"/>
      <c r="F857" s="2"/>
      <c r="G857" s="2"/>
      <c r="H857" s="2"/>
      <c r="I857" s="2"/>
      <c r="J857" s="2"/>
    </row>
    <row r="858">
      <c r="B858" s="2"/>
      <c r="C858" s="2"/>
      <c r="D858" s="2"/>
      <c r="E858" s="2"/>
      <c r="F858" s="2"/>
      <c r="G858" s="2"/>
      <c r="H858" s="2"/>
      <c r="I858" s="2"/>
      <c r="J858" s="2"/>
    </row>
    <row r="859">
      <c r="B859" s="2"/>
      <c r="C859" s="2"/>
      <c r="D859" s="2"/>
      <c r="E859" s="2"/>
      <c r="F859" s="2"/>
      <c r="G859" s="2"/>
      <c r="H859" s="2"/>
      <c r="I859" s="2"/>
      <c r="J859" s="2"/>
    </row>
    <row r="860">
      <c r="B860" s="2"/>
      <c r="C860" s="2"/>
      <c r="D860" s="2"/>
      <c r="E860" s="2"/>
      <c r="F860" s="2"/>
      <c r="G860" s="2"/>
      <c r="H860" s="2"/>
      <c r="I860" s="2"/>
      <c r="J860" s="2"/>
    </row>
    <row r="861">
      <c r="B861" s="2"/>
      <c r="C861" s="2"/>
      <c r="D861" s="2"/>
      <c r="E861" s="2"/>
      <c r="F861" s="2"/>
      <c r="G861" s="2"/>
      <c r="H861" s="2"/>
      <c r="I861" s="2"/>
      <c r="J861" s="2"/>
    </row>
    <row r="862">
      <c r="B862" s="2"/>
      <c r="C862" s="2"/>
      <c r="D862" s="2"/>
      <c r="E862" s="2"/>
      <c r="F862" s="2"/>
      <c r="G862" s="2"/>
      <c r="H862" s="2"/>
      <c r="I862" s="2"/>
      <c r="J862" s="2"/>
    </row>
    <row r="863">
      <c r="B863" s="2"/>
      <c r="C863" s="2"/>
      <c r="D863" s="2"/>
      <c r="E863" s="2"/>
      <c r="F863" s="2"/>
      <c r="G863" s="2"/>
      <c r="H863" s="2"/>
      <c r="I863" s="2"/>
      <c r="J863" s="2"/>
    </row>
    <row r="864">
      <c r="B864" s="2"/>
      <c r="C864" s="2"/>
      <c r="D864" s="2"/>
      <c r="E864" s="2"/>
      <c r="F864" s="2"/>
      <c r="G864" s="2"/>
      <c r="H864" s="2"/>
      <c r="I864" s="2"/>
      <c r="J864" s="2"/>
    </row>
    <row r="865">
      <c r="B865" s="2"/>
      <c r="C865" s="2"/>
      <c r="D865" s="2"/>
      <c r="E865" s="2"/>
      <c r="F865" s="2"/>
      <c r="G865" s="2"/>
      <c r="H865" s="2"/>
      <c r="I865" s="2"/>
      <c r="J865" s="2"/>
    </row>
    <row r="866">
      <c r="B866" s="2"/>
      <c r="C866" s="2"/>
      <c r="D866" s="2"/>
      <c r="E866" s="2"/>
      <c r="F866" s="2"/>
      <c r="G866" s="2"/>
      <c r="H866" s="2"/>
      <c r="I866" s="2"/>
      <c r="J866" s="2"/>
    </row>
    <row r="867">
      <c r="B867" s="2"/>
      <c r="C867" s="2"/>
      <c r="D867" s="2"/>
      <c r="E867" s="2"/>
      <c r="F867" s="2"/>
      <c r="G867" s="2"/>
      <c r="H867" s="2"/>
      <c r="I867" s="2"/>
      <c r="J867" s="2"/>
    </row>
    <row r="868">
      <c r="B868" s="2"/>
      <c r="C868" s="2"/>
      <c r="D868" s="2"/>
      <c r="E868" s="2"/>
      <c r="F868" s="2"/>
      <c r="G868" s="2"/>
      <c r="H868" s="2"/>
      <c r="I868" s="2"/>
      <c r="J868" s="2"/>
    </row>
    <row r="869">
      <c r="B869" s="2"/>
      <c r="C869" s="2"/>
      <c r="D869" s="2"/>
      <c r="E869" s="2"/>
      <c r="F869" s="2"/>
      <c r="G869" s="2"/>
      <c r="H869" s="2"/>
      <c r="I869" s="2"/>
      <c r="J869" s="2"/>
    </row>
    <row r="870">
      <c r="B870" s="2"/>
      <c r="C870" s="2"/>
      <c r="D870" s="2"/>
      <c r="E870" s="2"/>
      <c r="F870" s="2"/>
      <c r="G870" s="2"/>
      <c r="H870" s="2"/>
      <c r="I870" s="2"/>
      <c r="J870" s="2"/>
    </row>
    <row r="871">
      <c r="B871" s="2"/>
      <c r="C871" s="2"/>
      <c r="D871" s="2"/>
      <c r="E871" s="2"/>
      <c r="F871" s="2"/>
      <c r="G871" s="2"/>
      <c r="H871" s="2"/>
      <c r="I871" s="2"/>
      <c r="J871" s="2"/>
    </row>
    <row r="872">
      <c r="B872" s="2"/>
      <c r="C872" s="2"/>
      <c r="D872" s="2"/>
      <c r="E872" s="2"/>
      <c r="F872" s="2"/>
      <c r="G872" s="2"/>
      <c r="H872" s="2"/>
      <c r="I872" s="2"/>
      <c r="J872" s="2"/>
    </row>
    <row r="873">
      <c r="B873" s="2"/>
      <c r="C873" s="2"/>
      <c r="D873" s="2"/>
      <c r="E873" s="2"/>
      <c r="F873" s="2"/>
      <c r="G873" s="2"/>
      <c r="H873" s="2"/>
      <c r="I873" s="2"/>
      <c r="J873" s="2"/>
    </row>
    <row r="874">
      <c r="B874" s="2"/>
      <c r="C874" s="2"/>
      <c r="D874" s="2"/>
      <c r="E874" s="2"/>
      <c r="F874" s="2"/>
      <c r="G874" s="2"/>
      <c r="H874" s="2"/>
      <c r="I874" s="2"/>
      <c r="J874" s="2"/>
    </row>
    <row r="875">
      <c r="B875" s="2"/>
      <c r="C875" s="2"/>
      <c r="D875" s="2"/>
      <c r="E875" s="2"/>
      <c r="F875" s="2"/>
      <c r="G875" s="2"/>
      <c r="H875" s="2"/>
      <c r="I875" s="2"/>
      <c r="J875" s="2"/>
    </row>
    <row r="876">
      <c r="B876" s="2"/>
      <c r="C876" s="2"/>
      <c r="D876" s="2"/>
      <c r="E876" s="2"/>
      <c r="F876" s="2"/>
      <c r="G876" s="2"/>
      <c r="H876" s="2"/>
      <c r="I876" s="2"/>
      <c r="J876" s="2"/>
    </row>
    <row r="877">
      <c r="B877" s="2"/>
      <c r="C877" s="2"/>
      <c r="D877" s="2"/>
      <c r="E877" s="2"/>
      <c r="F877" s="2"/>
      <c r="G877" s="2"/>
      <c r="H877" s="2"/>
      <c r="I877" s="2"/>
      <c r="J877" s="2"/>
    </row>
    <row r="878">
      <c r="B878" s="2"/>
      <c r="C878" s="2"/>
      <c r="D878" s="2"/>
      <c r="E878" s="2"/>
      <c r="F878" s="2"/>
      <c r="G878" s="2"/>
      <c r="H878" s="2"/>
      <c r="I878" s="2"/>
      <c r="J878" s="2"/>
    </row>
    <row r="879">
      <c r="B879" s="2"/>
      <c r="C879" s="2"/>
      <c r="D879" s="2"/>
      <c r="E879" s="2"/>
      <c r="F879" s="2"/>
      <c r="G879" s="2"/>
      <c r="H879" s="2"/>
      <c r="I879" s="2"/>
      <c r="J879" s="2"/>
    </row>
    <row r="880">
      <c r="B880" s="2"/>
      <c r="C880" s="2"/>
      <c r="D880" s="2"/>
      <c r="E880" s="2"/>
      <c r="F880" s="2"/>
      <c r="G880" s="2"/>
      <c r="H880" s="2"/>
      <c r="I880" s="2"/>
      <c r="J880" s="2"/>
    </row>
    <row r="881">
      <c r="B881" s="2"/>
      <c r="C881" s="2"/>
      <c r="D881" s="2"/>
      <c r="E881" s="2"/>
      <c r="F881" s="2"/>
      <c r="G881" s="2"/>
      <c r="H881" s="2"/>
      <c r="I881" s="2"/>
      <c r="J881" s="2"/>
    </row>
    <row r="882">
      <c r="B882" s="2"/>
      <c r="C882" s="2"/>
      <c r="D882" s="2"/>
      <c r="E882" s="2"/>
      <c r="F882" s="2"/>
      <c r="G882" s="2"/>
      <c r="H882" s="2"/>
      <c r="I882" s="2"/>
      <c r="J882" s="2"/>
    </row>
    <row r="883">
      <c r="B883" s="2"/>
      <c r="C883" s="2"/>
      <c r="D883" s="2"/>
      <c r="E883" s="2"/>
      <c r="F883" s="2"/>
      <c r="G883" s="2"/>
      <c r="H883" s="2"/>
      <c r="I883" s="2"/>
      <c r="J883" s="2"/>
    </row>
    <row r="884">
      <c r="B884" s="2"/>
      <c r="C884" s="2"/>
      <c r="D884" s="2"/>
      <c r="E884" s="2"/>
      <c r="F884" s="2"/>
      <c r="G884" s="2"/>
      <c r="H884" s="2"/>
      <c r="I884" s="2"/>
      <c r="J884" s="2"/>
    </row>
    <row r="885">
      <c r="B885" s="2"/>
      <c r="C885" s="2"/>
      <c r="D885" s="2"/>
      <c r="E885" s="2"/>
      <c r="F885" s="2"/>
      <c r="G885" s="2"/>
      <c r="H885" s="2"/>
      <c r="I885" s="2"/>
      <c r="J885" s="2"/>
    </row>
    <row r="886">
      <c r="B886" s="2"/>
      <c r="C886" s="2"/>
      <c r="D886" s="2"/>
      <c r="E886" s="2"/>
      <c r="F886" s="2"/>
      <c r="G886" s="2"/>
      <c r="H886" s="2"/>
      <c r="I886" s="2"/>
      <c r="J886" s="2"/>
    </row>
    <row r="887">
      <c r="B887" s="2"/>
      <c r="C887" s="2"/>
      <c r="D887" s="2"/>
      <c r="E887" s="2"/>
      <c r="F887" s="2"/>
      <c r="G887" s="2"/>
      <c r="H887" s="2"/>
      <c r="I887" s="2"/>
      <c r="J887" s="2"/>
    </row>
    <row r="888">
      <c r="B888" s="2"/>
      <c r="C888" s="2"/>
      <c r="D888" s="2"/>
      <c r="E888" s="2"/>
      <c r="F888" s="2"/>
      <c r="G888" s="2"/>
      <c r="H888" s="2"/>
      <c r="I888" s="2"/>
      <c r="J888" s="2"/>
    </row>
    <row r="889">
      <c r="B889" s="2"/>
      <c r="C889" s="2"/>
      <c r="D889" s="2"/>
      <c r="E889" s="2"/>
      <c r="F889" s="2"/>
      <c r="G889" s="2"/>
      <c r="H889" s="2"/>
      <c r="I889" s="2"/>
      <c r="J889" s="2"/>
    </row>
    <row r="890">
      <c r="B890" s="2"/>
      <c r="C890" s="2"/>
      <c r="D890" s="2"/>
      <c r="E890" s="2"/>
      <c r="F890" s="2"/>
      <c r="G890" s="2"/>
      <c r="H890" s="2"/>
      <c r="I890" s="2"/>
      <c r="J890" s="2"/>
    </row>
    <row r="891">
      <c r="B891" s="2"/>
      <c r="C891" s="2"/>
      <c r="D891" s="2"/>
      <c r="E891" s="2"/>
      <c r="F891" s="2"/>
      <c r="G891" s="2"/>
      <c r="H891" s="2"/>
      <c r="I891" s="2"/>
      <c r="J891" s="2"/>
    </row>
    <row r="892">
      <c r="B892" s="2"/>
      <c r="C892" s="2"/>
      <c r="D892" s="2"/>
      <c r="E892" s="2"/>
      <c r="F892" s="2"/>
      <c r="G892" s="2"/>
      <c r="H892" s="2"/>
      <c r="I892" s="2"/>
      <c r="J892" s="2"/>
    </row>
    <row r="893">
      <c r="B893" s="2"/>
      <c r="C893" s="2"/>
      <c r="D893" s="2"/>
      <c r="E893" s="2"/>
      <c r="F893" s="2"/>
      <c r="G893" s="2"/>
      <c r="H893" s="2"/>
      <c r="I893" s="2"/>
      <c r="J893" s="2"/>
    </row>
    <row r="894">
      <c r="B894" s="2"/>
      <c r="C894" s="2"/>
      <c r="D894" s="2"/>
      <c r="E894" s="2"/>
      <c r="F894" s="2"/>
      <c r="G894" s="2"/>
      <c r="H894" s="2"/>
      <c r="I894" s="2"/>
      <c r="J894" s="2"/>
    </row>
    <row r="895">
      <c r="B895" s="2"/>
      <c r="C895" s="2"/>
      <c r="D895" s="2"/>
      <c r="E895" s="2"/>
      <c r="F895" s="2"/>
      <c r="G895" s="2"/>
      <c r="H895" s="2"/>
      <c r="I895" s="2"/>
      <c r="J895" s="2"/>
    </row>
    <row r="896">
      <c r="B896" s="2"/>
      <c r="C896" s="2"/>
      <c r="D896" s="2"/>
      <c r="E896" s="2"/>
      <c r="F896" s="2"/>
      <c r="G896" s="2"/>
      <c r="H896" s="2"/>
      <c r="I896" s="2"/>
      <c r="J896" s="2"/>
    </row>
    <row r="897">
      <c r="B897" s="2"/>
      <c r="C897" s="2"/>
      <c r="D897" s="2"/>
      <c r="E897" s="2"/>
      <c r="F897" s="2"/>
      <c r="G897" s="2"/>
      <c r="H897" s="2"/>
      <c r="I897" s="2"/>
      <c r="J897" s="2"/>
    </row>
    <row r="898">
      <c r="B898" s="2"/>
      <c r="C898" s="2"/>
      <c r="D898" s="2"/>
      <c r="E898" s="2"/>
      <c r="F898" s="2"/>
      <c r="G898" s="2"/>
      <c r="H898" s="2"/>
      <c r="I898" s="2"/>
      <c r="J898" s="2"/>
    </row>
    <row r="899">
      <c r="B899" s="2"/>
      <c r="C899" s="2"/>
      <c r="D899" s="2"/>
      <c r="E899" s="2"/>
      <c r="F899" s="2"/>
      <c r="G899" s="2"/>
      <c r="H899" s="2"/>
      <c r="I899" s="2"/>
      <c r="J899" s="2"/>
    </row>
    <row r="900">
      <c r="B900" s="2"/>
      <c r="C900" s="2"/>
      <c r="D900" s="2"/>
      <c r="E900" s="2"/>
      <c r="F900" s="2"/>
      <c r="G900" s="2"/>
      <c r="H900" s="2"/>
      <c r="I900" s="2"/>
      <c r="J900" s="2"/>
    </row>
    <row r="901">
      <c r="B901" s="2"/>
      <c r="C901" s="2"/>
      <c r="D901" s="2"/>
      <c r="E901" s="2"/>
      <c r="F901" s="2"/>
      <c r="G901" s="2"/>
      <c r="H901" s="2"/>
      <c r="I901" s="2"/>
      <c r="J901" s="2"/>
    </row>
    <row r="902">
      <c r="B902" s="2"/>
      <c r="C902" s="2"/>
      <c r="D902" s="2"/>
      <c r="E902" s="2"/>
      <c r="F902" s="2"/>
      <c r="G902" s="2"/>
      <c r="H902" s="2"/>
      <c r="I902" s="2"/>
      <c r="J902" s="2"/>
    </row>
    <row r="903">
      <c r="B903" s="2"/>
      <c r="C903" s="2"/>
      <c r="D903" s="2"/>
      <c r="E903" s="2"/>
      <c r="F903" s="2"/>
      <c r="G903" s="2"/>
      <c r="H903" s="2"/>
      <c r="I903" s="2"/>
      <c r="J903" s="2"/>
    </row>
    <row r="904">
      <c r="B904" s="2"/>
      <c r="C904" s="2"/>
      <c r="D904" s="2"/>
      <c r="E904" s="2"/>
      <c r="F904" s="2"/>
      <c r="G904" s="2"/>
      <c r="H904" s="2"/>
      <c r="I904" s="2"/>
      <c r="J904" s="2"/>
    </row>
    <row r="905">
      <c r="B905" s="2"/>
      <c r="C905" s="2"/>
      <c r="D905" s="2"/>
      <c r="E905" s="2"/>
      <c r="F905" s="2"/>
      <c r="G905" s="2"/>
      <c r="H905" s="2"/>
      <c r="I905" s="2"/>
      <c r="J905" s="2"/>
    </row>
    <row r="906">
      <c r="B906" s="2"/>
      <c r="C906" s="2"/>
      <c r="D906" s="2"/>
      <c r="E906" s="2"/>
      <c r="F906" s="2"/>
      <c r="G906" s="2"/>
      <c r="H906" s="2"/>
      <c r="I906" s="2"/>
      <c r="J906" s="2"/>
    </row>
    <row r="907">
      <c r="B907" s="2"/>
      <c r="C907" s="2"/>
      <c r="D907" s="2"/>
      <c r="E907" s="2"/>
      <c r="F907" s="2"/>
      <c r="G907" s="2"/>
      <c r="H907" s="2"/>
      <c r="I907" s="2"/>
      <c r="J907" s="2"/>
    </row>
    <row r="908">
      <c r="B908" s="2"/>
      <c r="C908" s="2"/>
      <c r="D908" s="2"/>
      <c r="E908" s="2"/>
      <c r="F908" s="2"/>
      <c r="G908" s="2"/>
      <c r="H908" s="2"/>
      <c r="I908" s="2"/>
      <c r="J908" s="2"/>
    </row>
    <row r="909">
      <c r="B909" s="2"/>
      <c r="C909" s="2"/>
      <c r="D909" s="2"/>
      <c r="E909" s="2"/>
      <c r="F909" s="2"/>
      <c r="G909" s="2"/>
      <c r="H909" s="2"/>
      <c r="I909" s="2"/>
      <c r="J909" s="2"/>
    </row>
    <row r="910">
      <c r="B910" s="2"/>
      <c r="C910" s="2"/>
      <c r="D910" s="2"/>
      <c r="E910" s="2"/>
      <c r="F910" s="2"/>
      <c r="G910" s="2"/>
      <c r="H910" s="2"/>
      <c r="I910" s="2"/>
      <c r="J910" s="2"/>
    </row>
    <row r="911">
      <c r="B911" s="2"/>
      <c r="C911" s="2"/>
      <c r="D911" s="2"/>
      <c r="E911" s="2"/>
      <c r="F911" s="2"/>
      <c r="G911" s="2"/>
      <c r="H911" s="2"/>
      <c r="I911" s="2"/>
      <c r="J911" s="2"/>
    </row>
    <row r="912">
      <c r="B912" s="2"/>
      <c r="C912" s="2"/>
      <c r="D912" s="2"/>
      <c r="E912" s="2"/>
      <c r="F912" s="2"/>
      <c r="G912" s="2"/>
      <c r="H912" s="2"/>
      <c r="I912" s="2"/>
      <c r="J912" s="2"/>
    </row>
    <row r="913">
      <c r="B913" s="2"/>
      <c r="C913" s="2"/>
      <c r="D913" s="2"/>
      <c r="E913" s="2"/>
      <c r="F913" s="2"/>
      <c r="G913" s="2"/>
      <c r="H913" s="2"/>
      <c r="I913" s="2"/>
      <c r="J913" s="2"/>
    </row>
    <row r="914">
      <c r="B914" s="2"/>
      <c r="C914" s="2"/>
      <c r="D914" s="2"/>
      <c r="E914" s="2"/>
      <c r="F914" s="2"/>
      <c r="G914" s="2"/>
      <c r="H914" s="2"/>
      <c r="I914" s="2"/>
      <c r="J914" s="2"/>
    </row>
    <row r="915">
      <c r="B915" s="2"/>
      <c r="C915" s="2"/>
      <c r="D915" s="2"/>
      <c r="E915" s="2"/>
      <c r="F915" s="2"/>
      <c r="G915" s="2"/>
      <c r="H915" s="2"/>
      <c r="I915" s="2"/>
      <c r="J915" s="2"/>
    </row>
    <row r="916">
      <c r="B916" s="2"/>
      <c r="C916" s="2"/>
      <c r="D916" s="2"/>
      <c r="E916" s="2"/>
      <c r="F916" s="2"/>
      <c r="G916" s="2"/>
      <c r="H916" s="2"/>
      <c r="I916" s="2"/>
      <c r="J916" s="2"/>
    </row>
    <row r="917">
      <c r="B917" s="2"/>
      <c r="C917" s="2"/>
      <c r="D917" s="2"/>
      <c r="E917" s="2"/>
      <c r="F917" s="2"/>
      <c r="G917" s="2"/>
      <c r="H917" s="2"/>
      <c r="I917" s="2"/>
      <c r="J917" s="2"/>
    </row>
    <row r="918">
      <c r="B918" s="2"/>
      <c r="C918" s="2"/>
      <c r="D918" s="2"/>
      <c r="E918" s="2"/>
      <c r="F918" s="2"/>
      <c r="G918" s="2"/>
      <c r="H918" s="2"/>
      <c r="I918" s="2"/>
      <c r="J918" s="2"/>
    </row>
    <row r="919">
      <c r="B919" s="2"/>
      <c r="C919" s="2"/>
      <c r="D919" s="2"/>
      <c r="E919" s="2"/>
      <c r="F919" s="2"/>
      <c r="G919" s="2"/>
      <c r="H919" s="2"/>
      <c r="I919" s="2"/>
      <c r="J919" s="2"/>
    </row>
    <row r="920">
      <c r="B920" s="2"/>
      <c r="C920" s="2"/>
      <c r="D920" s="2"/>
      <c r="E920" s="2"/>
      <c r="F920" s="2"/>
      <c r="G920" s="2"/>
      <c r="H920" s="2"/>
      <c r="I920" s="2"/>
      <c r="J920" s="2"/>
    </row>
    <row r="921">
      <c r="B921" s="2"/>
      <c r="C921" s="2"/>
      <c r="D921" s="2"/>
      <c r="E921" s="2"/>
      <c r="F921" s="2"/>
      <c r="G921" s="2"/>
      <c r="H921" s="2"/>
      <c r="I921" s="2"/>
      <c r="J921" s="2"/>
    </row>
    <row r="922">
      <c r="B922" s="2"/>
      <c r="C922" s="2"/>
      <c r="D922" s="2"/>
      <c r="E922" s="2"/>
      <c r="F922" s="2"/>
      <c r="G922" s="2"/>
      <c r="H922" s="2"/>
      <c r="I922" s="2"/>
      <c r="J922" s="2"/>
    </row>
    <row r="923">
      <c r="B923" s="2"/>
      <c r="C923" s="2"/>
      <c r="D923" s="2"/>
      <c r="E923" s="2"/>
      <c r="F923" s="2"/>
      <c r="G923" s="2"/>
      <c r="H923" s="2"/>
      <c r="I923" s="2"/>
      <c r="J923" s="2"/>
    </row>
    <row r="924">
      <c r="B924" s="2"/>
      <c r="C924" s="2"/>
      <c r="D924" s="2"/>
      <c r="E924" s="2"/>
      <c r="F924" s="2"/>
      <c r="G924" s="2"/>
      <c r="H924" s="2"/>
      <c r="I924" s="2"/>
      <c r="J924" s="2"/>
    </row>
    <row r="925">
      <c r="B925" s="2"/>
      <c r="C925" s="2"/>
      <c r="D925" s="2"/>
      <c r="E925" s="2"/>
      <c r="F925" s="2"/>
      <c r="G925" s="2"/>
      <c r="H925" s="2"/>
      <c r="I925" s="2"/>
      <c r="J925" s="2"/>
    </row>
    <row r="926">
      <c r="B926" s="2"/>
      <c r="C926" s="2"/>
      <c r="D926" s="2"/>
      <c r="E926" s="2"/>
      <c r="F926" s="2"/>
      <c r="G926" s="2"/>
      <c r="H926" s="2"/>
      <c r="I926" s="2"/>
      <c r="J926" s="2"/>
    </row>
    <row r="927">
      <c r="B927" s="2"/>
      <c r="C927" s="2"/>
      <c r="D927" s="2"/>
      <c r="E927" s="2"/>
      <c r="F927" s="2"/>
      <c r="G927" s="2"/>
      <c r="H927" s="2"/>
      <c r="I927" s="2"/>
      <c r="J927" s="2"/>
    </row>
    <row r="928">
      <c r="B928" s="2"/>
      <c r="C928" s="2"/>
      <c r="D928" s="2"/>
      <c r="E928" s="2"/>
      <c r="F928" s="2"/>
      <c r="G928" s="2"/>
      <c r="H928" s="2"/>
      <c r="I928" s="2"/>
      <c r="J928" s="2"/>
    </row>
    <row r="929">
      <c r="B929" s="2"/>
      <c r="C929" s="2"/>
      <c r="D929" s="2"/>
      <c r="E929" s="2"/>
      <c r="F929" s="2"/>
      <c r="G929" s="2"/>
      <c r="H929" s="2"/>
      <c r="I929" s="2"/>
      <c r="J929" s="2"/>
    </row>
    <row r="930">
      <c r="B930" s="2"/>
      <c r="C930" s="2"/>
      <c r="D930" s="2"/>
      <c r="E930" s="2"/>
      <c r="F930" s="2"/>
      <c r="G930" s="2"/>
      <c r="H930" s="2"/>
      <c r="I930" s="2"/>
      <c r="J930" s="2"/>
    </row>
    <row r="931">
      <c r="B931" s="2"/>
      <c r="C931" s="2"/>
      <c r="D931" s="2"/>
      <c r="E931" s="2"/>
      <c r="F931" s="2"/>
      <c r="G931" s="2"/>
      <c r="H931" s="2"/>
      <c r="I931" s="2"/>
      <c r="J931" s="2"/>
    </row>
    <row r="932">
      <c r="B932" s="2"/>
      <c r="C932" s="2"/>
      <c r="D932" s="2"/>
      <c r="E932" s="2"/>
      <c r="F932" s="2"/>
      <c r="G932" s="2"/>
      <c r="H932" s="2"/>
      <c r="I932" s="2"/>
      <c r="J932" s="2"/>
    </row>
    <row r="933">
      <c r="B933" s="2"/>
      <c r="C933" s="2"/>
      <c r="D933" s="2"/>
      <c r="E933" s="2"/>
      <c r="F933" s="2"/>
      <c r="G933" s="2"/>
      <c r="H933" s="2"/>
      <c r="I933" s="2"/>
      <c r="J933" s="2"/>
    </row>
    <row r="934">
      <c r="B934" s="2"/>
      <c r="C934" s="2"/>
      <c r="D934" s="2"/>
      <c r="E934" s="2"/>
      <c r="F934" s="2"/>
      <c r="G934" s="2"/>
      <c r="H934" s="2"/>
      <c r="I934" s="2"/>
      <c r="J934" s="2"/>
    </row>
    <row r="935">
      <c r="B935" s="2"/>
      <c r="C935" s="2"/>
      <c r="D935" s="2"/>
      <c r="E935" s="2"/>
      <c r="F935" s="2"/>
      <c r="G935" s="2"/>
      <c r="H935" s="2"/>
      <c r="I935" s="2"/>
      <c r="J935" s="2"/>
    </row>
    <row r="936">
      <c r="B936" s="2"/>
      <c r="C936" s="2"/>
      <c r="D936" s="2"/>
      <c r="E936" s="2"/>
      <c r="F936" s="2"/>
      <c r="G936" s="2"/>
      <c r="H936" s="2"/>
      <c r="I936" s="2"/>
      <c r="J936" s="2"/>
    </row>
    <row r="937">
      <c r="B937" s="2"/>
      <c r="C937" s="2"/>
      <c r="D937" s="2"/>
      <c r="E937" s="2"/>
      <c r="F937" s="2"/>
      <c r="G937" s="2"/>
      <c r="H937" s="2"/>
      <c r="I937" s="2"/>
      <c r="J937" s="2"/>
    </row>
    <row r="938">
      <c r="B938" s="2"/>
      <c r="C938" s="2"/>
      <c r="D938" s="2"/>
      <c r="E938" s="2"/>
      <c r="F938" s="2"/>
      <c r="G938" s="2"/>
      <c r="H938" s="2"/>
      <c r="I938" s="2"/>
      <c r="J938" s="2"/>
    </row>
    <row r="939">
      <c r="B939" s="2"/>
      <c r="C939" s="2"/>
      <c r="D939" s="2"/>
      <c r="E939" s="2"/>
      <c r="F939" s="2"/>
      <c r="G939" s="2"/>
      <c r="H939" s="2"/>
      <c r="I939" s="2"/>
      <c r="J939" s="2"/>
    </row>
    <row r="940">
      <c r="B940" s="2"/>
      <c r="C940" s="2"/>
      <c r="D940" s="2"/>
      <c r="E940" s="2"/>
      <c r="F940" s="2"/>
      <c r="G940" s="2"/>
      <c r="H940" s="2"/>
      <c r="I940" s="2"/>
      <c r="J940" s="2"/>
    </row>
    <row r="941">
      <c r="B941" s="2"/>
      <c r="C941" s="2"/>
      <c r="D941" s="2"/>
      <c r="E941" s="2"/>
      <c r="F941" s="2"/>
      <c r="G941" s="2"/>
      <c r="H941" s="2"/>
      <c r="I941" s="2"/>
      <c r="J941" s="2"/>
    </row>
    <row r="942">
      <c r="B942" s="2"/>
      <c r="C942" s="2"/>
      <c r="D942" s="2"/>
      <c r="E942" s="2"/>
      <c r="F942" s="2"/>
      <c r="G942" s="2"/>
      <c r="H942" s="2"/>
      <c r="I942" s="2"/>
      <c r="J942" s="2"/>
    </row>
    <row r="943">
      <c r="B943" s="2"/>
      <c r="C943" s="2"/>
      <c r="D943" s="2"/>
      <c r="E943" s="2"/>
      <c r="F943" s="2"/>
      <c r="G943" s="2"/>
      <c r="H943" s="2"/>
      <c r="I943" s="2"/>
      <c r="J943" s="2"/>
    </row>
    <row r="944">
      <c r="B944" s="2"/>
      <c r="C944" s="2"/>
      <c r="D944" s="2"/>
      <c r="E944" s="2"/>
      <c r="F944" s="2"/>
      <c r="G944" s="2"/>
      <c r="H944" s="2"/>
      <c r="I944" s="2"/>
      <c r="J944" s="2"/>
    </row>
    <row r="945">
      <c r="B945" s="2"/>
      <c r="C945" s="2"/>
      <c r="D945" s="2"/>
      <c r="E945" s="2"/>
      <c r="F945" s="2"/>
      <c r="G945" s="2"/>
      <c r="H945" s="2"/>
      <c r="I945" s="2"/>
      <c r="J945" s="2"/>
    </row>
    <row r="946">
      <c r="B946" s="2"/>
      <c r="C946" s="2"/>
      <c r="D946" s="2"/>
      <c r="E946" s="2"/>
      <c r="F946" s="2"/>
      <c r="G946" s="2"/>
      <c r="H946" s="2"/>
      <c r="I946" s="2"/>
      <c r="J946" s="2"/>
    </row>
    <row r="947">
      <c r="B947" s="2"/>
      <c r="C947" s="2"/>
      <c r="D947" s="2"/>
      <c r="E947" s="2"/>
      <c r="F947" s="2"/>
      <c r="G947" s="2"/>
      <c r="H947" s="2"/>
      <c r="I947" s="2"/>
      <c r="J947" s="2"/>
    </row>
    <row r="948">
      <c r="B948" s="2"/>
      <c r="C948" s="2"/>
      <c r="D948" s="2"/>
      <c r="E948" s="2"/>
      <c r="F948" s="2"/>
      <c r="G948" s="2"/>
      <c r="H948" s="2"/>
      <c r="I948" s="2"/>
      <c r="J948" s="2"/>
    </row>
    <row r="949">
      <c r="B949" s="2"/>
      <c r="C949" s="2"/>
      <c r="D949" s="2"/>
      <c r="E949" s="2"/>
      <c r="F949" s="2"/>
      <c r="G949" s="2"/>
      <c r="H949" s="2"/>
      <c r="I949" s="2"/>
      <c r="J949" s="2"/>
    </row>
    <row r="950">
      <c r="B950" s="2"/>
      <c r="C950" s="2"/>
      <c r="D950" s="2"/>
      <c r="E950" s="2"/>
      <c r="F950" s="2"/>
      <c r="G950" s="2"/>
      <c r="H950" s="2"/>
      <c r="I950" s="2"/>
      <c r="J950" s="2"/>
    </row>
    <row r="951">
      <c r="B951" s="2"/>
      <c r="C951" s="2"/>
      <c r="D951" s="2"/>
      <c r="E951" s="2"/>
      <c r="F951" s="2"/>
      <c r="G951" s="2"/>
      <c r="H951" s="2"/>
      <c r="I951" s="2"/>
      <c r="J951" s="2"/>
    </row>
    <row r="952">
      <c r="B952" s="2"/>
      <c r="C952" s="2"/>
      <c r="D952" s="2"/>
      <c r="E952" s="2"/>
      <c r="F952" s="2"/>
      <c r="G952" s="2"/>
      <c r="H952" s="2"/>
      <c r="I952" s="2"/>
      <c r="J952" s="2"/>
    </row>
    <row r="953">
      <c r="B953" s="2"/>
      <c r="C953" s="2"/>
      <c r="D953" s="2"/>
      <c r="E953" s="2"/>
      <c r="F953" s="2"/>
      <c r="G953" s="2"/>
      <c r="H953" s="2"/>
      <c r="I953" s="2"/>
      <c r="J953" s="2"/>
    </row>
    <row r="954">
      <c r="B954" s="2"/>
      <c r="C954" s="2"/>
      <c r="D954" s="2"/>
      <c r="E954" s="2"/>
      <c r="F954" s="2"/>
      <c r="G954" s="2"/>
      <c r="H954" s="2"/>
      <c r="I954" s="2"/>
      <c r="J954" s="2"/>
    </row>
    <row r="955">
      <c r="B955" s="2"/>
      <c r="C955" s="2"/>
      <c r="D955" s="2"/>
      <c r="E955" s="2"/>
      <c r="F955" s="2"/>
      <c r="G955" s="2"/>
      <c r="H955" s="2"/>
      <c r="I955" s="2"/>
      <c r="J955" s="2"/>
    </row>
    <row r="956">
      <c r="B956" s="2"/>
      <c r="C956" s="2"/>
      <c r="D956" s="2"/>
      <c r="E956" s="2"/>
      <c r="F956" s="2"/>
      <c r="G956" s="2"/>
      <c r="H956" s="2"/>
      <c r="I956" s="2"/>
      <c r="J956" s="2"/>
    </row>
    <row r="957">
      <c r="B957" s="2"/>
      <c r="C957" s="2"/>
      <c r="D957" s="2"/>
      <c r="E957" s="2"/>
      <c r="F957" s="2"/>
      <c r="G957" s="2"/>
      <c r="H957" s="2"/>
      <c r="I957" s="2"/>
      <c r="J957" s="2"/>
    </row>
    <row r="958">
      <c r="B958" s="2"/>
      <c r="C958" s="2"/>
      <c r="D958" s="2"/>
      <c r="E958" s="2"/>
      <c r="F958" s="2"/>
      <c r="G958" s="2"/>
      <c r="H958" s="2"/>
      <c r="I958" s="2"/>
      <c r="J958" s="2"/>
    </row>
    <row r="959">
      <c r="B959" s="2"/>
      <c r="C959" s="2"/>
      <c r="D959" s="2"/>
      <c r="E959" s="2"/>
      <c r="F959" s="2"/>
      <c r="G959" s="2"/>
      <c r="H959" s="2"/>
      <c r="I959" s="2"/>
      <c r="J959" s="2"/>
    </row>
    <row r="960">
      <c r="B960" s="2"/>
      <c r="C960" s="2"/>
      <c r="D960" s="2"/>
      <c r="E960" s="2"/>
      <c r="F960" s="2"/>
      <c r="G960" s="2"/>
      <c r="H960" s="2"/>
      <c r="I960" s="2"/>
      <c r="J960" s="2"/>
    </row>
    <row r="961">
      <c r="B961" s="2"/>
      <c r="C961" s="2"/>
      <c r="D961" s="2"/>
      <c r="E961" s="2"/>
      <c r="F961" s="2"/>
      <c r="G961" s="2"/>
      <c r="H961" s="2"/>
      <c r="I961" s="2"/>
      <c r="J961" s="2"/>
    </row>
    <row r="962">
      <c r="B962" s="2"/>
      <c r="C962" s="2"/>
      <c r="D962" s="2"/>
      <c r="E962" s="2"/>
      <c r="F962" s="2"/>
      <c r="G962" s="2"/>
      <c r="H962" s="2"/>
      <c r="I962" s="2"/>
      <c r="J962" s="2"/>
    </row>
    <row r="963">
      <c r="B963" s="2"/>
      <c r="C963" s="2"/>
      <c r="D963" s="2"/>
      <c r="E963" s="2"/>
      <c r="F963" s="2"/>
      <c r="G963" s="2"/>
      <c r="H963" s="2"/>
      <c r="I963" s="2"/>
      <c r="J963" s="2"/>
    </row>
    <row r="964">
      <c r="B964" s="2"/>
      <c r="C964" s="2"/>
      <c r="D964" s="2"/>
      <c r="E964" s="2"/>
      <c r="F964" s="2"/>
      <c r="G964" s="2"/>
      <c r="H964" s="2"/>
      <c r="I964" s="2"/>
      <c r="J964" s="2"/>
    </row>
    <row r="965">
      <c r="B965" s="2"/>
      <c r="C965" s="2"/>
      <c r="D965" s="2"/>
      <c r="E965" s="2"/>
      <c r="F965" s="2"/>
      <c r="G965" s="2"/>
      <c r="H965" s="2"/>
      <c r="I965" s="2"/>
      <c r="J965" s="2"/>
    </row>
    <row r="966">
      <c r="B966" s="2"/>
      <c r="C966" s="2"/>
      <c r="D966" s="2"/>
      <c r="E966" s="2"/>
      <c r="F966" s="2"/>
      <c r="G966" s="2"/>
      <c r="H966" s="2"/>
      <c r="I966" s="2"/>
      <c r="J966" s="2"/>
    </row>
    <row r="967">
      <c r="B967" s="2"/>
      <c r="C967" s="2"/>
      <c r="D967" s="2"/>
      <c r="E967" s="2"/>
      <c r="F967" s="2"/>
      <c r="G967" s="2"/>
      <c r="H967" s="2"/>
      <c r="I967" s="2"/>
      <c r="J967" s="2"/>
    </row>
    <row r="968">
      <c r="B968" s="2"/>
      <c r="C968" s="2"/>
      <c r="D968" s="2"/>
      <c r="E968" s="2"/>
      <c r="F968" s="2"/>
      <c r="G968" s="2"/>
      <c r="H968" s="2"/>
      <c r="I968" s="2"/>
      <c r="J968" s="2"/>
    </row>
    <row r="969">
      <c r="B969" s="2"/>
      <c r="C969" s="2"/>
      <c r="D969" s="2"/>
      <c r="E969" s="2"/>
      <c r="F969" s="2"/>
      <c r="G969" s="2"/>
      <c r="H969" s="2"/>
      <c r="I969" s="2"/>
      <c r="J969" s="2"/>
    </row>
    <row r="970">
      <c r="B970" s="2"/>
      <c r="C970" s="2"/>
      <c r="D970" s="2"/>
      <c r="E970" s="2"/>
      <c r="F970" s="2"/>
      <c r="G970" s="2"/>
      <c r="H970" s="2"/>
      <c r="I970" s="2"/>
      <c r="J970" s="2"/>
    </row>
    <row r="971">
      <c r="B971" s="2"/>
      <c r="C971" s="2"/>
      <c r="D971" s="2"/>
      <c r="E971" s="2"/>
      <c r="F971" s="2"/>
      <c r="G971" s="2"/>
      <c r="H971" s="2"/>
      <c r="I971" s="2"/>
      <c r="J971" s="2"/>
    </row>
    <row r="972">
      <c r="B972" s="2"/>
      <c r="C972" s="2"/>
      <c r="D972" s="2"/>
      <c r="E972" s="2"/>
      <c r="F972" s="2"/>
      <c r="G972" s="2"/>
      <c r="H972" s="2"/>
      <c r="I972" s="2"/>
      <c r="J972" s="2"/>
    </row>
    <row r="973">
      <c r="B973" s="2"/>
      <c r="C973" s="2"/>
      <c r="D973" s="2"/>
      <c r="E973" s="2"/>
      <c r="F973" s="2"/>
      <c r="G973" s="2"/>
      <c r="H973" s="2"/>
      <c r="I973" s="2"/>
      <c r="J973" s="2"/>
    </row>
    <row r="974">
      <c r="B974" s="2"/>
      <c r="C974" s="2"/>
      <c r="D974" s="2"/>
      <c r="E974" s="2"/>
      <c r="F974" s="2"/>
      <c r="G974" s="2"/>
      <c r="H974" s="2"/>
      <c r="I974" s="2"/>
      <c r="J974" s="2"/>
    </row>
    <row r="975">
      <c r="B975" s="2"/>
      <c r="C975" s="2"/>
      <c r="D975" s="2"/>
      <c r="E975" s="2"/>
      <c r="F975" s="2"/>
      <c r="G975" s="2"/>
      <c r="H975" s="2"/>
      <c r="I975" s="2"/>
      <c r="J975" s="2"/>
    </row>
    <row r="976">
      <c r="B976" s="2"/>
      <c r="C976" s="2"/>
      <c r="D976" s="2"/>
      <c r="E976" s="2"/>
      <c r="F976" s="2"/>
      <c r="G976" s="2"/>
      <c r="H976" s="2"/>
      <c r="I976" s="2"/>
      <c r="J976" s="2"/>
    </row>
    <row r="977">
      <c r="B977" s="2"/>
      <c r="C977" s="2"/>
      <c r="D977" s="2"/>
      <c r="E977" s="2"/>
      <c r="F977" s="2"/>
      <c r="G977" s="2"/>
      <c r="H977" s="2"/>
      <c r="I977" s="2"/>
      <c r="J977" s="2"/>
    </row>
    <row r="978">
      <c r="B978" s="2"/>
      <c r="C978" s="2"/>
      <c r="D978" s="2"/>
      <c r="E978" s="2"/>
      <c r="F978" s="2"/>
      <c r="G978" s="2"/>
      <c r="H978" s="2"/>
      <c r="I978" s="2"/>
      <c r="J978" s="2"/>
    </row>
    <row r="979">
      <c r="B979" s="2"/>
      <c r="C979" s="2"/>
      <c r="D979" s="2"/>
      <c r="E979" s="2"/>
      <c r="F979" s="2"/>
      <c r="G979" s="2"/>
      <c r="H979" s="2"/>
      <c r="I979" s="2"/>
      <c r="J979" s="2"/>
    </row>
    <row r="980">
      <c r="B980" s="2"/>
      <c r="C980" s="2"/>
      <c r="D980" s="2"/>
      <c r="E980" s="2"/>
      <c r="F980" s="2"/>
      <c r="G980" s="2"/>
      <c r="H980" s="2"/>
      <c r="I980" s="2"/>
      <c r="J980" s="2"/>
    </row>
    <row r="981">
      <c r="B981" s="2"/>
      <c r="C981" s="2"/>
      <c r="D981" s="2"/>
      <c r="E981" s="2"/>
      <c r="F981" s="2"/>
      <c r="G981" s="2"/>
      <c r="H981" s="2"/>
      <c r="I981" s="2"/>
      <c r="J981" s="2"/>
    </row>
    <row r="982">
      <c r="B982" s="2"/>
      <c r="C982" s="2"/>
      <c r="D982" s="2"/>
      <c r="E982" s="2"/>
      <c r="F982" s="2"/>
      <c r="G982" s="2"/>
      <c r="H982" s="2"/>
      <c r="I982" s="2"/>
      <c r="J982" s="2"/>
    </row>
    <row r="983">
      <c r="B983" s="2"/>
      <c r="C983" s="2"/>
      <c r="D983" s="2"/>
      <c r="E983" s="2"/>
      <c r="F983" s="2"/>
      <c r="G983" s="2"/>
      <c r="H983" s="2"/>
      <c r="I983" s="2"/>
      <c r="J983" s="2"/>
    </row>
    <row r="984">
      <c r="B984" s="2"/>
      <c r="C984" s="2"/>
      <c r="D984" s="2"/>
      <c r="E984" s="2"/>
      <c r="F984" s="2"/>
      <c r="G984" s="2"/>
      <c r="H984" s="2"/>
      <c r="I984" s="2"/>
      <c r="J984" s="2"/>
    </row>
    <row r="985">
      <c r="B985" s="2"/>
      <c r="C985" s="2"/>
      <c r="D985" s="2"/>
      <c r="E985" s="2"/>
      <c r="F985" s="2"/>
      <c r="G985" s="2"/>
      <c r="H985" s="2"/>
      <c r="I985" s="2"/>
      <c r="J985" s="2"/>
    </row>
    <row r="986">
      <c r="B986" s="2"/>
      <c r="C986" s="2"/>
      <c r="D986" s="2"/>
      <c r="E986" s="2"/>
      <c r="F986" s="2"/>
      <c r="G986" s="2"/>
      <c r="H986" s="2"/>
      <c r="I986" s="2"/>
      <c r="J986" s="2"/>
    </row>
    <row r="987">
      <c r="B987" s="2"/>
      <c r="C987" s="2"/>
      <c r="D987" s="2"/>
      <c r="E987" s="2"/>
      <c r="F987" s="2"/>
      <c r="G987" s="2"/>
      <c r="H987" s="2"/>
      <c r="I987" s="2"/>
      <c r="J987" s="2"/>
    </row>
    <row r="988">
      <c r="B988" s="2"/>
      <c r="C988" s="2"/>
      <c r="D988" s="2"/>
      <c r="E988" s="2"/>
      <c r="F988" s="2"/>
      <c r="G988" s="2"/>
      <c r="H988" s="2"/>
      <c r="I988" s="2"/>
      <c r="J988" s="2"/>
    </row>
    <row r="989">
      <c r="B989" s="2"/>
      <c r="C989" s="2"/>
      <c r="D989" s="2"/>
      <c r="E989" s="2"/>
      <c r="F989" s="2"/>
      <c r="G989" s="2"/>
      <c r="H989" s="2"/>
      <c r="I989" s="2"/>
      <c r="J989" s="2"/>
    </row>
    <row r="990">
      <c r="B990" s="2"/>
      <c r="C990" s="2"/>
      <c r="D990" s="2"/>
      <c r="E990" s="2"/>
      <c r="F990" s="2"/>
      <c r="G990" s="2"/>
      <c r="H990" s="2"/>
      <c r="I990" s="2"/>
      <c r="J990" s="2"/>
    </row>
    <row r="991">
      <c r="B991" s="2"/>
      <c r="C991" s="2"/>
      <c r="D991" s="2"/>
      <c r="E991" s="2"/>
      <c r="F991" s="2"/>
      <c r="G991" s="2"/>
      <c r="H991" s="2"/>
      <c r="I991" s="2"/>
      <c r="J991" s="2"/>
    </row>
    <row r="992">
      <c r="B992" s="2"/>
      <c r="C992" s="2"/>
      <c r="D992" s="2"/>
      <c r="E992" s="2"/>
      <c r="F992" s="2"/>
      <c r="G992" s="2"/>
      <c r="H992" s="2"/>
      <c r="I992" s="2"/>
      <c r="J992" s="2"/>
    </row>
    <row r="993">
      <c r="B993" s="2"/>
      <c r="C993" s="2"/>
      <c r="D993" s="2"/>
      <c r="E993" s="2"/>
      <c r="F993" s="2"/>
      <c r="G993" s="2"/>
      <c r="H993" s="2"/>
      <c r="I993" s="2"/>
      <c r="J993" s="2"/>
    </row>
    <row r="994">
      <c r="B994" s="2"/>
      <c r="C994" s="2"/>
      <c r="D994" s="2"/>
      <c r="E994" s="2"/>
      <c r="F994" s="2"/>
      <c r="G994" s="2"/>
      <c r="H994" s="2"/>
      <c r="I994" s="2"/>
      <c r="J994" s="2"/>
    </row>
    <row r="995">
      <c r="B995" s="2"/>
      <c r="C995" s="2"/>
      <c r="D995" s="2"/>
      <c r="E995" s="2"/>
      <c r="F995" s="2"/>
      <c r="G995" s="2"/>
      <c r="H995" s="2"/>
      <c r="I995" s="2"/>
      <c r="J995" s="2"/>
    </row>
    <row r="996">
      <c r="B996" s="2"/>
      <c r="C996" s="2"/>
      <c r="D996" s="2"/>
      <c r="E996" s="2"/>
      <c r="F996" s="2"/>
      <c r="G996" s="2"/>
      <c r="H996" s="2"/>
      <c r="I996" s="2"/>
      <c r="J996" s="2"/>
    </row>
    <row r="997">
      <c r="B997" s="2"/>
      <c r="C997" s="2"/>
      <c r="D997" s="2"/>
      <c r="E997" s="2"/>
      <c r="F997" s="2"/>
      <c r="G997" s="2"/>
      <c r="H997" s="2"/>
      <c r="I997" s="2"/>
      <c r="J997" s="2"/>
    </row>
    <row r="998">
      <c r="B998" s="2"/>
      <c r="C998" s="2"/>
      <c r="D998" s="2"/>
      <c r="E998" s="2"/>
      <c r="F998" s="2"/>
      <c r="G998" s="2"/>
      <c r="H998" s="2"/>
      <c r="I998" s="2"/>
      <c r="J998" s="2"/>
    </row>
    <row r="999">
      <c r="B999" s="2"/>
      <c r="C999" s="2"/>
      <c r="D999" s="2"/>
      <c r="E999" s="2"/>
      <c r="F999" s="2"/>
      <c r="G999" s="2"/>
      <c r="H999" s="2"/>
      <c r="I999" s="2"/>
      <c r="J999" s="2"/>
    </row>
    <row r="1000">
      <c r="B1000" s="2"/>
      <c r="C1000" s="2"/>
      <c r="D1000" s="2"/>
      <c r="E1000" s="2"/>
      <c r="F1000" s="2"/>
      <c r="G1000" s="2"/>
      <c r="H1000" s="2"/>
      <c r="I1000" s="2"/>
      <c r="J1000" s="2"/>
    </row>
    <row r="1001">
      <c r="B1001" s="2"/>
      <c r="C1001" s="2"/>
      <c r="D1001" s="2"/>
      <c r="E1001" s="2"/>
      <c r="F1001" s="2"/>
      <c r="G1001" s="2"/>
      <c r="H1001" s="2"/>
      <c r="I1001" s="2"/>
      <c r="J1001" s="2"/>
    </row>
    <row r="1002">
      <c r="B1002" s="2"/>
      <c r="C1002" s="2"/>
      <c r="D1002" s="2"/>
      <c r="E1002" s="2"/>
      <c r="F1002" s="2"/>
      <c r="G1002" s="2"/>
      <c r="H1002" s="2"/>
      <c r="I1002" s="2"/>
      <c r="J1002" s="2"/>
    </row>
    <row r="1003">
      <c r="B1003" s="2"/>
      <c r="C1003" s="2"/>
      <c r="D1003" s="2"/>
      <c r="E1003" s="2"/>
      <c r="F1003" s="2"/>
      <c r="G1003" s="2"/>
      <c r="H1003" s="2"/>
      <c r="I1003" s="2"/>
      <c r="J1003" s="2"/>
    </row>
    <row r="1004">
      <c r="B1004" s="2"/>
      <c r="C1004" s="2"/>
      <c r="D1004" s="2"/>
      <c r="E1004" s="2"/>
      <c r="F1004" s="2"/>
      <c r="G1004" s="2"/>
      <c r="H1004" s="2"/>
      <c r="I1004" s="2"/>
      <c r="J1004" s="2"/>
    </row>
    <row r="1005">
      <c r="B1005" s="2"/>
      <c r="C1005" s="2"/>
      <c r="D1005" s="2"/>
      <c r="E1005" s="2"/>
      <c r="F1005" s="2"/>
      <c r="G1005" s="2"/>
      <c r="H1005" s="2"/>
      <c r="I1005" s="2"/>
      <c r="J1005" s="2"/>
    </row>
    <row r="1006">
      <c r="B1006" s="2"/>
      <c r="C1006" s="2"/>
      <c r="D1006" s="2"/>
      <c r="E1006" s="2"/>
      <c r="F1006" s="2"/>
      <c r="G1006" s="2"/>
      <c r="H1006" s="2"/>
      <c r="I1006" s="2"/>
      <c r="J1006" s="2"/>
    </row>
    <row r="1007">
      <c r="B1007" s="2"/>
      <c r="C1007" s="2"/>
      <c r="D1007" s="2"/>
      <c r="E1007" s="2"/>
      <c r="F1007" s="2"/>
      <c r="G1007" s="2"/>
      <c r="H1007" s="2"/>
      <c r="I1007" s="2"/>
      <c r="J1007" s="2"/>
    </row>
    <row r="1008">
      <c r="B1008" s="2"/>
      <c r="C1008" s="2"/>
      <c r="D1008" s="2"/>
      <c r="E1008" s="2"/>
      <c r="F1008" s="2"/>
      <c r="G1008" s="2"/>
      <c r="H1008" s="2"/>
      <c r="I1008" s="2"/>
      <c r="J1008" s="2"/>
    </row>
    <row r="1009">
      <c r="B1009" s="2"/>
      <c r="C1009" s="2"/>
      <c r="D1009" s="2"/>
      <c r="E1009" s="2"/>
      <c r="F1009" s="2"/>
      <c r="G1009" s="2"/>
      <c r="H1009" s="2"/>
      <c r="I1009" s="2"/>
      <c r="J1009" s="2"/>
    </row>
    <row r="1010">
      <c r="B1010" s="2"/>
      <c r="C1010" s="2"/>
      <c r="D1010" s="2"/>
      <c r="E1010" s="2"/>
      <c r="F1010" s="2"/>
      <c r="G1010" s="2"/>
      <c r="H1010" s="2"/>
      <c r="I1010" s="2"/>
      <c r="J1010" s="2"/>
    </row>
    <row r="1011">
      <c r="B1011" s="2"/>
      <c r="C1011" s="2"/>
      <c r="D1011" s="2"/>
      <c r="E1011" s="2"/>
      <c r="F1011" s="2"/>
      <c r="G1011" s="2"/>
      <c r="H1011" s="2"/>
      <c r="I1011" s="2"/>
      <c r="J1011" s="2"/>
    </row>
    <row r="1012">
      <c r="B1012" s="2"/>
      <c r="C1012" s="2"/>
      <c r="D1012" s="2"/>
      <c r="E1012" s="2"/>
      <c r="F1012" s="2"/>
      <c r="G1012" s="2"/>
      <c r="H1012" s="2"/>
      <c r="I1012" s="2"/>
      <c r="J1012" s="2"/>
    </row>
    <row r="1013">
      <c r="B1013" s="2"/>
      <c r="C1013" s="2"/>
      <c r="D1013" s="2"/>
      <c r="E1013" s="2"/>
      <c r="F1013" s="2"/>
      <c r="G1013" s="2"/>
      <c r="H1013" s="2"/>
      <c r="I1013" s="2"/>
      <c r="J1013" s="2"/>
    </row>
    <row r="1014">
      <c r="B1014" s="2"/>
      <c r="C1014" s="2"/>
      <c r="D1014" s="2"/>
      <c r="E1014" s="2"/>
      <c r="F1014" s="2"/>
      <c r="G1014" s="2"/>
      <c r="H1014" s="2"/>
      <c r="I1014" s="2"/>
      <c r="J1014" s="2"/>
    </row>
    <row r="1015">
      <c r="B1015" s="2"/>
      <c r="C1015" s="2"/>
      <c r="D1015" s="2"/>
      <c r="E1015" s="2"/>
      <c r="F1015" s="2"/>
      <c r="G1015" s="2"/>
      <c r="H1015" s="2"/>
      <c r="I1015" s="2"/>
      <c r="J1015" s="2"/>
    </row>
    <row r="1016">
      <c r="B1016" s="2"/>
      <c r="C1016" s="2"/>
      <c r="D1016" s="2"/>
      <c r="E1016" s="2"/>
      <c r="F1016" s="2"/>
      <c r="G1016" s="2"/>
      <c r="H1016" s="2"/>
      <c r="I1016" s="2"/>
      <c r="J1016" s="2"/>
    </row>
    <row r="1017">
      <c r="B1017" s="2"/>
      <c r="C1017" s="2"/>
      <c r="D1017" s="2"/>
      <c r="E1017" s="2"/>
      <c r="F1017" s="2"/>
      <c r="G1017" s="2"/>
      <c r="H1017" s="2"/>
      <c r="I1017" s="2"/>
      <c r="J1017" s="2"/>
    </row>
    <row r="1018">
      <c r="B1018" s="2"/>
      <c r="C1018" s="2"/>
      <c r="D1018" s="2"/>
      <c r="E1018" s="2"/>
      <c r="F1018" s="2"/>
      <c r="G1018" s="2"/>
      <c r="H1018" s="2"/>
      <c r="I1018" s="2"/>
      <c r="J1018" s="2"/>
    </row>
    <row r="1019">
      <c r="B1019" s="2"/>
      <c r="C1019" s="2"/>
      <c r="D1019" s="2"/>
      <c r="E1019" s="2"/>
      <c r="F1019" s="2"/>
      <c r="G1019" s="2"/>
      <c r="H1019" s="2"/>
      <c r="I1019" s="2"/>
      <c r="J1019" s="2"/>
    </row>
    <row r="1020">
      <c r="B1020" s="2"/>
      <c r="C1020" s="2"/>
      <c r="D1020" s="2"/>
      <c r="E1020" s="2"/>
      <c r="F1020" s="2"/>
      <c r="G1020" s="2"/>
      <c r="H1020" s="2"/>
      <c r="I1020" s="2"/>
      <c r="J1020" s="2"/>
    </row>
    <row r="1021">
      <c r="B1021" s="2"/>
      <c r="C1021" s="2"/>
      <c r="D1021" s="2"/>
      <c r="E1021" s="2"/>
      <c r="F1021" s="2"/>
      <c r="G1021" s="2"/>
      <c r="H1021" s="2"/>
      <c r="I1021" s="2"/>
      <c r="J1021" s="2"/>
    </row>
    <row r="1022">
      <c r="B1022" s="2"/>
      <c r="C1022" s="2"/>
      <c r="D1022" s="2"/>
      <c r="E1022" s="2"/>
      <c r="F1022" s="2"/>
      <c r="G1022" s="2"/>
      <c r="H1022" s="2"/>
      <c r="I1022" s="2"/>
      <c r="J1022" s="2"/>
    </row>
    <row r="1023">
      <c r="B1023" s="2"/>
      <c r="C1023" s="2"/>
      <c r="D1023" s="2"/>
      <c r="E1023" s="2"/>
      <c r="F1023" s="2"/>
      <c r="G1023" s="2"/>
      <c r="H1023" s="2"/>
      <c r="I1023" s="2"/>
      <c r="J1023" s="2"/>
    </row>
    <row r="1024">
      <c r="B1024" s="2"/>
      <c r="C1024" s="2"/>
      <c r="D1024" s="2"/>
      <c r="E1024" s="2"/>
      <c r="F1024" s="2"/>
      <c r="G1024" s="2"/>
      <c r="H1024" s="2"/>
      <c r="I1024" s="2"/>
      <c r="J1024" s="2"/>
    </row>
    <row r="1025">
      <c r="B1025" s="2"/>
      <c r="C1025" s="2"/>
      <c r="D1025" s="2"/>
      <c r="E1025" s="2"/>
      <c r="F1025" s="2"/>
      <c r="G1025" s="2"/>
      <c r="H1025" s="2"/>
      <c r="I1025" s="2"/>
      <c r="J1025" s="2"/>
    </row>
    <row r="1026">
      <c r="B1026" s="2"/>
      <c r="C1026" s="2"/>
      <c r="D1026" s="2"/>
      <c r="E1026" s="2"/>
      <c r="F1026" s="2"/>
      <c r="G1026" s="2"/>
      <c r="H1026" s="2"/>
      <c r="I1026" s="2"/>
      <c r="J1026" s="2"/>
    </row>
    <row r="1027">
      <c r="B1027" s="2"/>
      <c r="C1027" s="2"/>
      <c r="D1027" s="2"/>
      <c r="E1027" s="2"/>
      <c r="F1027" s="2"/>
      <c r="G1027" s="2"/>
      <c r="H1027" s="2"/>
      <c r="I1027" s="2"/>
      <c r="J1027" s="2"/>
    </row>
    <row r="1028">
      <c r="B1028" s="2"/>
      <c r="C1028" s="2"/>
      <c r="D1028" s="2"/>
      <c r="E1028" s="2"/>
      <c r="F1028" s="2"/>
      <c r="G1028" s="2"/>
      <c r="H1028" s="2"/>
      <c r="I1028" s="2"/>
      <c r="J1028" s="2"/>
    </row>
    <row r="1029">
      <c r="B1029" s="2"/>
      <c r="C1029" s="2"/>
      <c r="D1029" s="2"/>
      <c r="E1029" s="2"/>
      <c r="F1029" s="2"/>
      <c r="G1029" s="2"/>
      <c r="H1029" s="2"/>
      <c r="I1029" s="2"/>
      <c r="J1029" s="2"/>
    </row>
    <row r="1030">
      <c r="B1030" s="2"/>
      <c r="C1030" s="2"/>
      <c r="D1030" s="2"/>
      <c r="E1030" s="2"/>
      <c r="F1030" s="2"/>
      <c r="G1030" s="2"/>
      <c r="H1030" s="2"/>
      <c r="I1030" s="2"/>
      <c r="J1030" s="2"/>
    </row>
    <row r="1031">
      <c r="B1031" s="2"/>
      <c r="C1031" s="2"/>
      <c r="D1031" s="2"/>
      <c r="E1031" s="2"/>
      <c r="F1031" s="2"/>
      <c r="G1031" s="2"/>
      <c r="H1031" s="2"/>
      <c r="I1031" s="2"/>
      <c r="J1031" s="2"/>
    </row>
    <row r="1032">
      <c r="B1032" s="2"/>
      <c r="C1032" s="2"/>
      <c r="D1032" s="2"/>
      <c r="E1032" s="2"/>
      <c r="F1032" s="2"/>
      <c r="G1032" s="2"/>
      <c r="H1032" s="2"/>
      <c r="I1032" s="2"/>
      <c r="J1032" s="2"/>
    </row>
    <row r="1033">
      <c r="B1033" s="2"/>
      <c r="C1033" s="2"/>
      <c r="D1033" s="2"/>
      <c r="E1033" s="2"/>
      <c r="F1033" s="2"/>
      <c r="G1033" s="2"/>
      <c r="H1033" s="2"/>
      <c r="I1033" s="2"/>
      <c r="J1033" s="2"/>
    </row>
  </sheetData>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51.88"/>
  </cols>
  <sheetData>
    <row r="2">
      <c r="B2" s="90" t="s">
        <v>697</v>
      </c>
      <c r="C2" s="91"/>
    </row>
    <row r="3">
      <c r="B3" s="92"/>
      <c r="C3" s="92"/>
    </row>
    <row r="4">
      <c r="B4" s="93" t="s">
        <v>698</v>
      </c>
      <c r="C4" s="91"/>
    </row>
    <row r="5">
      <c r="B5" s="94" t="s">
        <v>699</v>
      </c>
      <c r="C5" s="91"/>
    </row>
    <row r="6">
      <c r="B6" s="95"/>
      <c r="C6" s="92"/>
    </row>
    <row r="7">
      <c r="B7" s="96" t="s">
        <v>700</v>
      </c>
      <c r="C7" s="97" t="s">
        <v>701</v>
      </c>
    </row>
    <row r="8">
      <c r="B8" s="95"/>
      <c r="C8" s="92"/>
    </row>
    <row r="9">
      <c r="B9" s="97" t="s">
        <v>702</v>
      </c>
      <c r="C9" s="97" t="s">
        <v>703</v>
      </c>
    </row>
    <row r="10">
      <c r="B10" s="98" t="s">
        <v>704</v>
      </c>
      <c r="C10" s="4" t="s">
        <v>705</v>
      </c>
    </row>
    <row r="11">
      <c r="B11" s="97"/>
      <c r="C11" s="97"/>
    </row>
    <row r="12">
      <c r="B12" s="97" t="s">
        <v>706</v>
      </c>
      <c r="C12" s="97" t="s">
        <v>707</v>
      </c>
    </row>
    <row r="13" ht="136.5" customHeight="1">
      <c r="B13" s="99" t="s">
        <v>708</v>
      </c>
      <c r="C13" s="4" t="s">
        <v>709</v>
      </c>
    </row>
    <row r="14">
      <c r="B14" s="95"/>
      <c r="C14" s="92"/>
    </row>
    <row r="15">
      <c r="B15" s="96" t="s">
        <v>710</v>
      </c>
      <c r="C15" s="97" t="s">
        <v>711</v>
      </c>
    </row>
    <row r="16">
      <c r="B16" s="95"/>
      <c r="C16" s="97"/>
    </row>
    <row r="17">
      <c r="B17" s="97" t="s">
        <v>712</v>
      </c>
      <c r="C17" s="97"/>
    </row>
    <row r="18">
      <c r="B18" s="100" t="s">
        <v>713</v>
      </c>
      <c r="C18" s="100" t="s">
        <v>714</v>
      </c>
    </row>
    <row r="19">
      <c r="B19" s="97" t="s">
        <v>715</v>
      </c>
      <c r="C19" s="97"/>
    </row>
    <row r="20">
      <c r="B20" s="100" t="s">
        <v>716</v>
      </c>
      <c r="C20" s="95"/>
    </row>
    <row r="21">
      <c r="B21" s="97"/>
      <c r="C21" s="97"/>
    </row>
    <row r="22">
      <c r="B22" s="97" t="s">
        <v>717</v>
      </c>
      <c r="C22" s="97" t="s">
        <v>718</v>
      </c>
    </row>
    <row r="23">
      <c r="B23" s="100" t="s">
        <v>719</v>
      </c>
      <c r="C23" s="98" t="s">
        <v>720</v>
      </c>
    </row>
    <row r="24">
      <c r="B24" s="95"/>
      <c r="C24" s="97"/>
    </row>
    <row r="25">
      <c r="B25" s="96" t="s">
        <v>721</v>
      </c>
      <c r="C25" s="95"/>
    </row>
    <row r="26">
      <c r="B26" s="95"/>
      <c r="C26" s="97"/>
    </row>
    <row r="27">
      <c r="B27" s="97" t="s">
        <v>722</v>
      </c>
      <c r="C27" s="95"/>
    </row>
    <row r="28">
      <c r="B28" s="100" t="s">
        <v>723</v>
      </c>
      <c r="C28" s="92"/>
    </row>
    <row r="29">
      <c r="B29" s="100" t="s">
        <v>724</v>
      </c>
      <c r="C29" s="97"/>
    </row>
    <row r="30">
      <c r="B30" s="95"/>
      <c r="C30" s="97"/>
    </row>
    <row r="31">
      <c r="B31" s="97" t="s">
        <v>725</v>
      </c>
      <c r="C31" s="97"/>
    </row>
    <row r="32">
      <c r="B32" s="100" t="s">
        <v>726</v>
      </c>
      <c r="C32" s="92"/>
    </row>
    <row r="33">
      <c r="B33" s="92"/>
      <c r="C33" s="92"/>
    </row>
    <row r="34">
      <c r="B34" s="97" t="s">
        <v>727</v>
      </c>
      <c r="C34" s="92"/>
    </row>
    <row r="35">
      <c r="B35" s="4" t="s">
        <v>728</v>
      </c>
      <c r="C35" s="92"/>
    </row>
    <row r="36">
      <c r="B36" s="101"/>
    </row>
    <row r="37">
      <c r="B37" s="102"/>
    </row>
    <row r="38">
      <c r="B38" s="101"/>
    </row>
    <row r="39">
      <c r="B39" s="102"/>
    </row>
    <row r="40">
      <c r="B40" s="101"/>
    </row>
    <row r="41">
      <c r="B41" s="102"/>
    </row>
    <row r="42">
      <c r="B42" s="101"/>
    </row>
    <row r="43">
      <c r="B43" s="102"/>
    </row>
    <row r="44">
      <c r="B44" s="101"/>
    </row>
    <row r="45">
      <c r="B45" s="102"/>
    </row>
    <row r="46">
      <c r="B46" s="102"/>
    </row>
    <row r="47">
      <c r="B47" s="102"/>
    </row>
    <row r="48">
      <c r="B48" s="102"/>
    </row>
    <row r="49">
      <c r="B49" s="102"/>
    </row>
    <row r="50">
      <c r="B50" s="102"/>
    </row>
    <row r="51">
      <c r="B51" s="102"/>
    </row>
    <row r="52">
      <c r="B52" s="102"/>
    </row>
    <row r="53">
      <c r="B53" s="101"/>
    </row>
    <row r="54">
      <c r="B54" s="102"/>
    </row>
    <row r="55">
      <c r="B55" s="101"/>
    </row>
    <row r="74">
      <c r="B74" s="101"/>
    </row>
    <row r="75">
      <c r="B75" s="102" t="s">
        <v>729</v>
      </c>
    </row>
    <row r="76">
      <c r="B76" s="101"/>
    </row>
    <row r="77">
      <c r="B77" s="102" t="s">
        <v>730</v>
      </c>
    </row>
    <row r="78">
      <c r="B78" s="101"/>
    </row>
    <row r="79">
      <c r="B79" s="102" t="s">
        <v>731</v>
      </c>
    </row>
    <row r="80">
      <c r="B80" s="101"/>
    </row>
    <row r="81">
      <c r="B81" s="102" t="s">
        <v>732</v>
      </c>
    </row>
    <row r="82">
      <c r="B82" s="101"/>
    </row>
    <row r="83">
      <c r="B83" s="102" t="s">
        <v>733</v>
      </c>
    </row>
    <row r="84">
      <c r="B84" s="101"/>
    </row>
    <row r="85">
      <c r="B85" s="102" t="s">
        <v>734</v>
      </c>
    </row>
    <row r="86">
      <c r="B86" s="101"/>
    </row>
    <row r="87">
      <c r="B87" s="102" t="s">
        <v>735</v>
      </c>
    </row>
    <row r="88">
      <c r="B88" s="101"/>
    </row>
    <row r="89">
      <c r="B89" s="102" t="s">
        <v>736</v>
      </c>
    </row>
    <row r="90">
      <c r="B90" s="101"/>
    </row>
    <row r="91">
      <c r="B91" s="102" t="s">
        <v>737</v>
      </c>
    </row>
    <row r="92">
      <c r="B92" s="102" t="s">
        <v>738</v>
      </c>
    </row>
    <row r="93">
      <c r="B93" s="102" t="s">
        <v>739</v>
      </c>
    </row>
    <row r="94">
      <c r="B94" s="102" t="s">
        <v>740</v>
      </c>
    </row>
    <row r="95">
      <c r="B95" s="101"/>
    </row>
    <row r="96">
      <c r="B96" s="102" t="s">
        <v>741</v>
      </c>
    </row>
    <row r="97">
      <c r="B97" s="101"/>
    </row>
    <row r="98">
      <c r="B98" s="102" t="s">
        <v>742</v>
      </c>
    </row>
    <row r="99">
      <c r="B99" s="101"/>
    </row>
    <row r="100">
      <c r="B100" s="102" t="s">
        <v>729</v>
      </c>
    </row>
    <row r="101">
      <c r="B101" s="101"/>
    </row>
    <row r="102">
      <c r="B102" s="102" t="s">
        <v>743</v>
      </c>
    </row>
    <row r="103">
      <c r="B103" s="101"/>
    </row>
    <row r="104">
      <c r="B104" s="102" t="s">
        <v>744</v>
      </c>
    </row>
    <row r="105">
      <c r="B105" s="102" t="s">
        <v>745</v>
      </c>
    </row>
    <row r="106">
      <c r="B106" s="102" t="s">
        <v>746</v>
      </c>
    </row>
    <row r="107">
      <c r="B107" s="102" t="s">
        <v>747</v>
      </c>
    </row>
    <row r="108">
      <c r="B108" s="102" t="s">
        <v>748</v>
      </c>
    </row>
    <row r="109">
      <c r="B109" s="102" t="s">
        <v>749</v>
      </c>
    </row>
    <row r="110">
      <c r="B110" s="102" t="s">
        <v>750</v>
      </c>
    </row>
    <row r="111">
      <c r="B111" s="101"/>
    </row>
    <row r="112">
      <c r="B112" s="102" t="s">
        <v>729</v>
      </c>
    </row>
    <row r="113">
      <c r="B113" s="101"/>
    </row>
    <row r="114">
      <c r="B114" s="102" t="s">
        <v>751</v>
      </c>
    </row>
    <row r="115">
      <c r="B115" s="101"/>
    </row>
    <row r="116">
      <c r="B116" s="102" t="s">
        <v>752</v>
      </c>
    </row>
    <row r="117">
      <c r="B117" s="101"/>
    </row>
    <row r="118">
      <c r="B118" s="102" t="s">
        <v>753</v>
      </c>
    </row>
    <row r="119">
      <c r="B119" s="101"/>
    </row>
    <row r="120">
      <c r="B120" s="102" t="s">
        <v>754</v>
      </c>
    </row>
    <row r="121">
      <c r="B121" s="101"/>
    </row>
    <row r="122">
      <c r="B122" s="102" t="s">
        <v>755</v>
      </c>
    </row>
    <row r="123">
      <c r="B123" s="102" t="s">
        <v>756</v>
      </c>
    </row>
    <row r="124">
      <c r="B124" s="101"/>
    </row>
    <row r="125">
      <c r="B125" s="101"/>
    </row>
    <row r="126">
      <c r="B126" s="102" t="s">
        <v>757</v>
      </c>
    </row>
    <row r="127">
      <c r="B127" s="102" t="s">
        <v>758</v>
      </c>
    </row>
    <row r="128">
      <c r="B128" s="102" t="s">
        <v>759</v>
      </c>
    </row>
    <row r="129">
      <c r="B129" s="102" t="s">
        <v>760</v>
      </c>
    </row>
    <row r="130">
      <c r="B130" s="102" t="s">
        <v>761</v>
      </c>
    </row>
    <row r="131">
      <c r="B131" s="101"/>
    </row>
    <row r="132">
      <c r="B132" s="102" t="s">
        <v>729</v>
      </c>
    </row>
    <row r="133">
      <c r="B133" s="101"/>
    </row>
    <row r="134">
      <c r="B134" s="102"/>
    </row>
    <row r="135">
      <c r="B135" s="102"/>
    </row>
    <row r="136">
      <c r="B136" s="102"/>
    </row>
    <row r="137">
      <c r="B137" s="101"/>
    </row>
    <row r="138">
      <c r="B138" s="102"/>
    </row>
  </sheetData>
  <mergeCells count="3">
    <mergeCell ref="B2:C2"/>
    <mergeCell ref="B4:C4"/>
    <mergeCell ref="B5:C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88"/>
    <col customWidth="1" min="11" max="11" width="79.38"/>
    <col customWidth="1" min="13" max="13" width="57.88"/>
    <col customWidth="1" min="15" max="15" width="63.38"/>
  </cols>
  <sheetData>
    <row r="3" ht="1531.5" customHeight="1">
      <c r="B3" s="103" t="s">
        <v>762</v>
      </c>
      <c r="D3" s="34" t="s">
        <v>763</v>
      </c>
      <c r="E3" s="104"/>
      <c r="K3" s="105" t="s">
        <v>764</v>
      </c>
      <c r="L3" s="104"/>
      <c r="M3" s="34" t="s">
        <v>765</v>
      </c>
      <c r="N3" s="106"/>
      <c r="O3" s="107" t="s">
        <v>766</v>
      </c>
    </row>
  </sheetData>
  <mergeCells count="4">
    <mergeCell ref="B3:B29"/>
    <mergeCell ref="K3:K194"/>
    <mergeCell ref="M3:M52"/>
    <mergeCell ref="O3:O145"/>
  </mergeCells>
  <drawing r:id="rId1"/>
</worksheet>
</file>